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cave\Desktop\"/>
    </mc:Choice>
  </mc:AlternateContent>
  <xr:revisionPtr revIDLastSave="0" documentId="8_{EBFFB7F7-7771-48CD-9C6A-C851F7DF45C4}" xr6:coauthVersionLast="47" xr6:coauthVersionMax="47" xr10:uidLastSave="{00000000-0000-0000-0000-000000000000}"/>
  <bookViews>
    <workbookView xWindow="-120" yWindow="-120" windowWidth="29040" windowHeight="15840" xr2:uid="{7A55916D-E38A-420A-B1B6-1FCC0B43F099}"/>
  </bookViews>
  <sheets>
    <sheet name="품번검토" sheetId="1" r:id="rId1"/>
  </sheets>
  <externalReferences>
    <externalReference r:id="rId2"/>
    <externalReference r:id="rId3"/>
  </externalReferences>
  <definedNames>
    <definedName name="_">#REF!</definedName>
    <definedName name="_??_????æ">#REF!</definedName>
    <definedName name="_______________________________A99999">#REF!</definedName>
    <definedName name="_______________________________ZZ16384">#REF!</definedName>
    <definedName name="______________________________A19999">#REF!</definedName>
    <definedName name="______________________________A20000">#REF!</definedName>
    <definedName name="______________________________A99999">#REF!</definedName>
    <definedName name="______________________________ZZ16384">#REF!</definedName>
    <definedName name="_____________________________A19999">#REF!</definedName>
    <definedName name="_____________________________A20000">#REF!</definedName>
    <definedName name="_____________________________A99999">#REF!</definedName>
    <definedName name="_____________________________ZZ16384">#REF!</definedName>
    <definedName name="____________________________A19999">#REF!</definedName>
    <definedName name="____________________________A20000">#REF!</definedName>
    <definedName name="____________________________A99999">#REF!</definedName>
    <definedName name="____________________________ZZ16384">#REF!</definedName>
    <definedName name="___________________________A19999">#REF!</definedName>
    <definedName name="___________________________A20000">#REF!</definedName>
    <definedName name="___________________________A99999">#REF!</definedName>
    <definedName name="___________________________ZZ16384">#REF!</definedName>
    <definedName name="__________________________A19999">#REF!</definedName>
    <definedName name="__________________________A20000">#REF!</definedName>
    <definedName name="__________________________A99999">#REF!</definedName>
    <definedName name="__________________________ZZ16384">#REF!</definedName>
    <definedName name="_________________________A19999">#REF!</definedName>
    <definedName name="_________________________A20000">#REF!</definedName>
    <definedName name="_________________________A99999">#REF!</definedName>
    <definedName name="_________________________ZZ16384">#REF!</definedName>
    <definedName name="________________________A19999">#REF!</definedName>
    <definedName name="________________________A20000">#REF!</definedName>
    <definedName name="________________________A99999">#REF!</definedName>
    <definedName name="________________________ZZ16384">#REF!</definedName>
    <definedName name="_______________________A19999">#REF!</definedName>
    <definedName name="_______________________A20000">#REF!</definedName>
    <definedName name="_______________________A99999">#REF!</definedName>
    <definedName name="_______________________ZZ16384">#REF!</definedName>
    <definedName name="______________________A19999">#REF!</definedName>
    <definedName name="______________________A20000">#REF!</definedName>
    <definedName name="______________________A99999">#REF!</definedName>
    <definedName name="______________________ZZ16384">#REF!</definedName>
    <definedName name="_____________________A19999">#REF!</definedName>
    <definedName name="_____________________A20000">#REF!</definedName>
    <definedName name="_____________________A99999">#REF!</definedName>
    <definedName name="_____________________ZZ16384">#REF!</definedName>
    <definedName name="____________________A19999">#REF!</definedName>
    <definedName name="____________________A20000">#REF!</definedName>
    <definedName name="____________________A99999">#REF!</definedName>
    <definedName name="____________________am2" hidden="1">{"'9월'!$F$38"}</definedName>
    <definedName name="____________________AM3" hidden="1">{"'9월'!$F$38"}</definedName>
    <definedName name="____________________ZZ16384">#REF!</definedName>
    <definedName name="___________________A19999">#REF!</definedName>
    <definedName name="___________________A20000">#REF!</definedName>
    <definedName name="___________________A99999">#REF!</definedName>
    <definedName name="___________________ZZ16384">#REF!</definedName>
    <definedName name="__________________A19999">#REF!</definedName>
    <definedName name="__________________A20000">#REF!</definedName>
    <definedName name="__________________A99999">#REF!</definedName>
    <definedName name="__________________am2" hidden="1">{"'9월'!$F$38"}</definedName>
    <definedName name="__________________AM3" hidden="1">{"'9월'!$F$38"}</definedName>
    <definedName name="__________________ZZ16384">#REF!</definedName>
    <definedName name="_________________A19999">#REF!</definedName>
    <definedName name="_________________A20000">#REF!</definedName>
    <definedName name="_________________A99999">#REF!</definedName>
    <definedName name="_________________am2" hidden="1">{"'9월'!$F$38"}</definedName>
    <definedName name="_________________AM3" hidden="1">{"'9월'!$F$38"}</definedName>
    <definedName name="_________________ZZ16384">#REF!</definedName>
    <definedName name="________________A19999">#REF!</definedName>
    <definedName name="________________A20000">#REF!</definedName>
    <definedName name="________________A99999">#REF!</definedName>
    <definedName name="________________am2" hidden="1">{"'9월'!$F$38"}</definedName>
    <definedName name="________________AM3" hidden="1">{"'9월'!$F$38"}</definedName>
    <definedName name="________________ZZ16384">#REF!</definedName>
    <definedName name="_______________A19999">#REF!</definedName>
    <definedName name="_______________A20000">#REF!</definedName>
    <definedName name="_______________A99999">#REF!</definedName>
    <definedName name="_______________am2" hidden="1">{"'9월'!$F$38"}</definedName>
    <definedName name="_______________AM3" hidden="1">{"'9월'!$F$38"}</definedName>
    <definedName name="_______________ZZ16384">#REF!</definedName>
    <definedName name="______________A19999">#REF!</definedName>
    <definedName name="______________A20000">#REF!</definedName>
    <definedName name="______________A99999">#REF!</definedName>
    <definedName name="______________am2" hidden="1">{"'9월'!$F$38"}</definedName>
    <definedName name="______________AM3" hidden="1">{"'9월'!$F$38"}</definedName>
    <definedName name="______________AU100000">#REF!</definedName>
    <definedName name="______________AU66000">#REF!</definedName>
    <definedName name="______________AU69999">#REF!</definedName>
    <definedName name="______________AU70000">#REF!</definedName>
    <definedName name="______________ZZ16384">#REF!</definedName>
    <definedName name="_____________A19999">#REF!</definedName>
    <definedName name="_____________A20000">#REF!</definedName>
    <definedName name="_____________A99999">#REF!</definedName>
    <definedName name="_____________AU100000">#REF!</definedName>
    <definedName name="_____________AU66000">#REF!</definedName>
    <definedName name="_____________AU69999">#REF!</definedName>
    <definedName name="_____________AU70000">#REF!</definedName>
    <definedName name="_____________ZZ16384">#REF!</definedName>
    <definedName name="____________A19999">#REF!</definedName>
    <definedName name="____________A20000">#REF!</definedName>
    <definedName name="____________A99999">#REF!</definedName>
    <definedName name="____________am2" hidden="1">{"'9월'!$F$38"}</definedName>
    <definedName name="____________AM3" hidden="1">{"'9월'!$F$38"}</definedName>
    <definedName name="____________AU100000">#REF!</definedName>
    <definedName name="____________AU66000">#REF!</definedName>
    <definedName name="____________AU69999">#REF!</definedName>
    <definedName name="____________AU70000">#REF!</definedName>
    <definedName name="____________ZZ16384">#REF!</definedName>
    <definedName name="___________A19999">#REF!</definedName>
    <definedName name="___________A20000">#REF!</definedName>
    <definedName name="___________A99999">#REF!</definedName>
    <definedName name="___________am2" hidden="1">{"'9월'!$F$38"}</definedName>
    <definedName name="___________AM3" hidden="1">{"'9월'!$F$38"}</definedName>
    <definedName name="___________AU100000">#REF!</definedName>
    <definedName name="___________AU66000">#REF!</definedName>
    <definedName name="___________AU69999">#REF!</definedName>
    <definedName name="___________AU70000">#REF!</definedName>
    <definedName name="___________PnP1">#REF!</definedName>
    <definedName name="___________ZZ16384">#REF!</definedName>
    <definedName name="__________A19999">#REF!</definedName>
    <definedName name="__________A20000">#REF!</definedName>
    <definedName name="__________A99999">#REF!</definedName>
    <definedName name="__________am2" hidden="1">{"'9월'!$F$38"}</definedName>
    <definedName name="__________AM3" hidden="1">{"'9월'!$F$38"}</definedName>
    <definedName name="__________AU100000">#REF!</definedName>
    <definedName name="__________AU66000">#REF!</definedName>
    <definedName name="__________AU69999">#REF!</definedName>
    <definedName name="__________AU70000">#REF!</definedName>
    <definedName name="__________PnP1">#REF!</definedName>
    <definedName name="__________ZZ16384">#REF!</definedName>
    <definedName name="_________A19999">#REF!</definedName>
    <definedName name="_________A20000">#REF!</definedName>
    <definedName name="_________A99999">#REF!</definedName>
    <definedName name="_________am2" hidden="1">{"'9월'!$F$38"}</definedName>
    <definedName name="_________AM3" hidden="1">{"'9월'!$F$38"}</definedName>
    <definedName name="_________AU100000">#REF!</definedName>
    <definedName name="_________AU66000">#REF!</definedName>
    <definedName name="_________AU69999">#REF!</definedName>
    <definedName name="_________AU70000">#REF!</definedName>
    <definedName name="_________PnP1">#REF!</definedName>
    <definedName name="_________ZZ16384">#REF!</definedName>
    <definedName name="________A19999">#REF!</definedName>
    <definedName name="________A20000">#REF!</definedName>
    <definedName name="________A99999">#REF!</definedName>
    <definedName name="________am2" hidden="1">{"'9월'!$F$38"}</definedName>
    <definedName name="________AM3" hidden="1">{"'9월'!$F$38"}</definedName>
    <definedName name="________AU100000">#REF!</definedName>
    <definedName name="________AU66000">#REF!</definedName>
    <definedName name="________AU69999">#REF!</definedName>
    <definedName name="________AU70000">#REF!</definedName>
    <definedName name="________PnP1">#REF!</definedName>
    <definedName name="________ZZ16384">#REF!</definedName>
    <definedName name="_______A19999">#REF!</definedName>
    <definedName name="_______A20000">#REF!</definedName>
    <definedName name="_______A99999">#REF!</definedName>
    <definedName name="_______am2" hidden="1">{"'9월'!$F$38"}</definedName>
    <definedName name="_______AM3" hidden="1">{"'9월'!$F$38"}</definedName>
    <definedName name="_______AU100000">#REF!</definedName>
    <definedName name="_______AU66000">#REF!</definedName>
    <definedName name="_______AU69999">#REF!</definedName>
    <definedName name="_______AU70000">#REF!</definedName>
    <definedName name="_______PnP1">#REF!</definedName>
    <definedName name="_______ZZ16384">#REF!</definedName>
    <definedName name="______A19999">#REF!</definedName>
    <definedName name="______A20000">#REF!</definedName>
    <definedName name="______A99999">#REF!</definedName>
    <definedName name="______am2" hidden="1">{"'9월'!$F$38"}</definedName>
    <definedName name="______AM3" hidden="1">{"'9월'!$F$38"}</definedName>
    <definedName name="______AU100000">#REF!</definedName>
    <definedName name="______AU66000">#REF!</definedName>
    <definedName name="______AU69999">#REF!</definedName>
    <definedName name="______AU70000">#REF!</definedName>
    <definedName name="______PnP1">#REF!</definedName>
    <definedName name="______ZZ16384">#REF!</definedName>
    <definedName name="_____A19999">#REF!</definedName>
    <definedName name="_____A20000">#REF!</definedName>
    <definedName name="_____A99999">#REF!</definedName>
    <definedName name="_____am2" hidden="1">{"'9월'!$F$38"}</definedName>
    <definedName name="_____AM3" hidden="1">{"'9월'!$F$38"}</definedName>
    <definedName name="_____AU100000">#REF!</definedName>
    <definedName name="_____AU66000">#REF!</definedName>
    <definedName name="_____AU69999">#REF!</definedName>
    <definedName name="_____AU70000">#REF!</definedName>
    <definedName name="_____PnP1">#REF!</definedName>
    <definedName name="_____ZZ16384">#REF!</definedName>
    <definedName name="____A19999">#REF!</definedName>
    <definedName name="____A20000">#REF!</definedName>
    <definedName name="____A99999">#REF!</definedName>
    <definedName name="____am2" hidden="1">{"'9월'!$F$38"}</definedName>
    <definedName name="____AM3" hidden="1">{"'9월'!$F$38"}</definedName>
    <definedName name="____AU100000">#REF!</definedName>
    <definedName name="____AU66000">#REF!</definedName>
    <definedName name="____AU69999">#REF!</definedName>
    <definedName name="____AU70000">#REF!</definedName>
    <definedName name="____PnP1">#REF!</definedName>
    <definedName name="____ZZ16384">#REF!</definedName>
    <definedName name="___A19999">#REF!</definedName>
    <definedName name="___A20000">#REF!</definedName>
    <definedName name="___A99999">#REF!</definedName>
    <definedName name="___am2" hidden="1">{"'9월'!$F$38"}</definedName>
    <definedName name="___AM3" hidden="1">{"'9월'!$F$38"}</definedName>
    <definedName name="___AU100000">#REF!</definedName>
    <definedName name="___AU66000">#REF!</definedName>
    <definedName name="___AU69999">#REF!</definedName>
    <definedName name="___AU70000">#REF!</definedName>
    <definedName name="___PnP1">#REF!</definedName>
    <definedName name="___ZZ16384">#REF!</definedName>
    <definedName name="__123Graph_A" hidden="1">#REF!</definedName>
    <definedName name="__123Graph_D" hidden="1">#REF!</definedName>
    <definedName name="__2am2_" hidden="1">{"'9월'!$F$38"}</definedName>
    <definedName name="__3am2_" hidden="1">{"'9월'!$F$38"}</definedName>
    <definedName name="__4am2_" hidden="1">{"'9월'!$F$38"}</definedName>
    <definedName name="__4AM3_" hidden="1">{"'9월'!$F$38"}</definedName>
    <definedName name="__6AM3_" hidden="1">{"'9월'!$F$38"}</definedName>
    <definedName name="__A19999">#REF!</definedName>
    <definedName name="__A20000">#REF!</definedName>
    <definedName name="__A99999">#REF!</definedName>
    <definedName name="__am2" hidden="1">{"'9월'!$F$38"}</definedName>
    <definedName name="__AM3" hidden="1">{"'9월'!$F$38"}</definedName>
    <definedName name="__AU100000">#REF!</definedName>
    <definedName name="__AU66000">#REF!</definedName>
    <definedName name="__AU69999">#REF!</definedName>
    <definedName name="__AU70000">#REF!</definedName>
    <definedName name="__KO2" hidden="1">#REF!</definedName>
    <definedName name="__PnP1">#REF!</definedName>
    <definedName name="__ZA1">#REF!</definedName>
    <definedName name="__ZA2">#REF!</definedName>
    <definedName name="__za23">#REF!</definedName>
    <definedName name="__za235">#REF!</definedName>
    <definedName name="__ZZ16384">#REF!</definedName>
    <definedName name="_00_GD_FW09_Q3_Presell_OC">#REF!</definedName>
    <definedName name="_00_GD_FW09_Q3_SMS_OC">#REF!</definedName>
    <definedName name="_00_gd_ss09_q1_sms_OC">#REF!</definedName>
    <definedName name="_05_F_W_MERCHANDISE_LIST">#REF!</definedName>
    <definedName name="_1">#REF!</definedName>
    <definedName name="_10">#REF!</definedName>
    <definedName name="_11">#REF!</definedName>
    <definedName name="_12">#REF!</definedName>
    <definedName name="_15_0_0CONVERS">#REF!</definedName>
    <definedName name="_15672asdf">#REF!</definedName>
    <definedName name="_15am2_" hidden="1">{"'9월'!$F$38"}</definedName>
    <definedName name="_16AM3_" hidden="1">{"'9월'!$F$38"}</definedName>
    <definedName name="_19AM3_" hidden="1">{"'9월'!$F$38"}</definedName>
    <definedName name="_1A19999_">#REF!</definedName>
    <definedName name="_1am2_" hidden="1">{"'9월'!$F$38"}</definedName>
    <definedName name="_1월">#REF!</definedName>
    <definedName name="_2A19999_">#REF!</definedName>
    <definedName name="_2A20000_">#REF!</definedName>
    <definedName name="_2am2_" hidden="1">{"'9월'!$F$38"}</definedName>
    <definedName name="_2AM3_" hidden="1">{"'9월'!$F$38"}</definedName>
    <definedName name="_3_0_0CONVERS">#REF!</definedName>
    <definedName name="_3am2_" hidden="1">{"'9월'!$F$38"}</definedName>
    <definedName name="_4A20000_">#REF!</definedName>
    <definedName name="_4ag1_">#REF!</definedName>
    <definedName name="_4am2_" hidden="1">{"'9월'!$F$38"}</definedName>
    <definedName name="_4AM3_" hidden="1">{"'9월'!$F$38"}</definedName>
    <definedName name="_51am2_" hidden="1">{"'9월'!$F$38"}</definedName>
    <definedName name="_5ag2_">#REF!</definedName>
    <definedName name="_5am2_" hidden="1">{"'9월'!$F$38"}</definedName>
    <definedName name="_5AM3_" hidden="1">{"'9월'!$F$38"}</definedName>
    <definedName name="_6AM3_" hidden="1">{"'9월'!$F$38"}</definedName>
    <definedName name="_7">#REF!</definedName>
    <definedName name="_7AM3_" hidden="1">{"'9월'!$F$38"}</definedName>
    <definedName name="_8">#REF!</definedName>
    <definedName name="_82AM3_" hidden="1">{"'9월'!$F$38"}</definedName>
    <definedName name="_8am2_" hidden="1">{"'9월'!$F$38"}</definedName>
    <definedName name="_8AM3_" hidden="1">{"'9월'!$F$38"}</definedName>
    <definedName name="_9">#REF!</definedName>
    <definedName name="_9_0_0CONVERS">#REF!</definedName>
    <definedName name="_949_894.00">#REF!</definedName>
    <definedName name="_A19999">#REF!</definedName>
    <definedName name="_A20000">#REF!</definedName>
    <definedName name="_A99999">#REF!</definedName>
    <definedName name="_active_nylon_satin">#REF!</definedName>
    <definedName name="_active_nylon_taffeta__">#REF!</definedName>
    <definedName name="_active_poplin">#REF!</definedName>
    <definedName name="_activityTypes">#REF!</definedName>
    <definedName name="_am2" hidden="1">{"'9월'!$F$38"}</definedName>
    <definedName name="_AM3" hidden="1">{"'9월'!$F$38"}</definedName>
    <definedName name="_AMO_ScheduleElement_ScheduledRefresh" hidden="1">"'&lt;ScheduleElement name=""스케줄된 새로 고침 - 5월 4강기원 금액할인 일보고"" scriptPath=""C:\Documents and Settings\friend\My Documents\My SAS Files\Add-In for Microsoft Office\5월 4강기원 금액할인 일보고 - 새로 고침.vbs"" userName=""pc""&gt;&lt;DeliveryActions /&gt;&lt;/ScheduleElement&gt;'"</definedName>
    <definedName name="_AMO_XmlVersion" hidden="1">"'1'"</definedName>
    <definedName name="_area">#REF!</definedName>
    <definedName name="_AU100000">#REF!</definedName>
    <definedName name="_AU66000">#REF!</definedName>
    <definedName name="_AU69999">#REF!</definedName>
    <definedName name="_AU70000">#REF!</definedName>
    <definedName name="_basic_ctn_twill">#REF!</definedName>
    <definedName name="_Bondex_Stretch">#REF!</definedName>
    <definedName name="_BQ4.1" hidden="1">#REF!</definedName>
    <definedName name="_bus_segm">#REF!</definedName>
    <definedName name="_clean_denim">#REF!</definedName>
    <definedName name="_color_denim">#REF!</definedName>
    <definedName name="_Commander">#REF!</definedName>
    <definedName name="_compact_wool_blend_o_w">#REF!</definedName>
    <definedName name="_cracked___distressed_leather">#REF!</definedName>
    <definedName name="_Crossroads">#REF!</definedName>
    <definedName name="_ctn_sateen">#REF!</definedName>
    <definedName name="_dailyRate">#REF!</definedName>
    <definedName name="_Dark_blue_denim">#REF!</definedName>
    <definedName name="_Dist_Bin" hidden="1">#REF!</definedName>
    <definedName name="_Dist_Values" hidden="1">#REF!</definedName>
    <definedName name="_dressy_satin">#REF!</definedName>
    <definedName name="_Fill" hidden="1">#REF!</definedName>
    <definedName name="_xlnm._FilterDatabase" hidden="1">#REF!</definedName>
    <definedName name="_fine_nylon_faille">#REF!</definedName>
    <definedName name="_flower_print_cord">#REF!</definedName>
    <definedName name="_GIT_Biz">#REF!</definedName>
    <definedName name="_gold_stnd_ctn_poplin">#REF!</definedName>
    <definedName name="_Harrison">#REF!</definedName>
    <definedName name="_heavy_poly_microfiber_">#REF!</definedName>
    <definedName name="_indigo__yarn_dyed_stripe">#REF!</definedName>
    <definedName name="_ka2">#REF!</definedName>
    <definedName name="_Key1" hidden="1">#REF!</definedName>
    <definedName name="_Key2" hidden="1">#REF!</definedName>
    <definedName name="_KO2" hidden="1">#REF!</definedName>
    <definedName name="_light_ripstop">#REF!</definedName>
    <definedName name="_LNF1">OFFSET(#REF!,0,0,COUNTA(#REF!)-1,1)</definedName>
    <definedName name="_loose_outerwear_poplin">#REF!</definedName>
    <definedName name="_lt_wt_ctn_moleskin">#REF!</definedName>
    <definedName name="_MatInverse_In" hidden="1">#REF!</definedName>
    <definedName name="_multi_count_warp_denim">#REF!</definedName>
    <definedName name="_multicount_warp_denim">#REF!</definedName>
    <definedName name="_new1">#REF!</definedName>
    <definedName name="_novelty_ctn_twill">#REF!</definedName>
    <definedName name="_nylon_faille___coated">#REF!</definedName>
    <definedName name="_nylon_taffeta">#REF!</definedName>
    <definedName name="_Oct1" hidden="1">{"Provision_Budget",#N/A,FALSE,"Provision"}</definedName>
    <definedName name="_OH_CC">#REF!</definedName>
    <definedName name="_Order1" hidden="1">255</definedName>
    <definedName name="_Order2" hidden="1">255</definedName>
    <definedName name="_pad1" hidden="1">#REF!</definedName>
    <definedName name="_pad2" hidden="1">#REF!</definedName>
    <definedName name="_pad3">#REF!</definedName>
    <definedName name="_pad4">#REF!</definedName>
    <definedName name="_pad5">#REF!</definedName>
    <definedName name="_Parse_Out" hidden="1">#REF!</definedName>
    <definedName name="_peach_ctn_satin_shirting">#REF!</definedName>
    <definedName name="_pigment_coated_face_nylon_oxford">#REF!</definedName>
    <definedName name="_PL1111" hidden="1">{"P&amp;L_Quarterly",#N/A,FALSE,"P&amp;L_Qrtrly"}</definedName>
    <definedName name="_Pl222" hidden="1">{"P&amp;L_Variance",#N/A,FALSE,"P&amp;L_Variance"}</definedName>
    <definedName name="_PL333" hidden="1">{"P&amp;L_YTD",#N/A,FALSE,"P&amp;L_YTD"}</definedName>
    <definedName name="_PL444" hidden="1">{"Provision2",#N/A,FALSE,"GraphProv"}</definedName>
    <definedName name="_PL555" hidden="1">{"Provision_Budget",#N/A,FALSE,"Provision"}</definedName>
    <definedName name="_PnP1">#REF!</definedName>
    <definedName name="_rateName">#REF!</definedName>
    <definedName name="_real_suede">#REF!</definedName>
    <definedName name="_rec_unit">#REF!</definedName>
    <definedName name="_REFRESHSHEETS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129">#REF!</definedName>
    <definedName name="_sa155">#REF!</definedName>
    <definedName name="_shiney_taffeta__core_">#REF!</definedName>
    <definedName name="_solid_ctn_poplin">#REF!</definedName>
    <definedName name="_Sort" hidden="1">#REF!</definedName>
    <definedName name="_spv2" hidden="1">{"'9월'!$F$38"}</definedName>
    <definedName name="_ss3" hidden="1">{"'9월'!$F$38"}</definedName>
    <definedName name="_ss4" hidden="1">{"'9월'!$F$38"}</definedName>
    <definedName name="_stretch_cotton_cord">#REF!</definedName>
    <definedName name="_stretch_rht">#REF!</definedName>
    <definedName name="_tea_tined_chambray">#REF!</definedName>
    <definedName name="_uncut_cord">#REF!</definedName>
    <definedName name="_WHS1">#REF!</definedName>
    <definedName name="_WHS2">#REF!</definedName>
    <definedName name="_wide_wale_cord">#REF!</definedName>
    <definedName name="_wool_blend_skirt">#REF!</definedName>
    <definedName name="_wool_coating___solid">#REF!</definedName>
    <definedName name="_ww2" hidden="1">{"Provision1",#N/A,FALSE,"GraphProv"}</definedName>
    <definedName name="_ww3" hidden="1">{"Sales_Budget",#N/A,FALSE,"Sales"}</definedName>
    <definedName name="_ww4" hidden="1">{"Sales_CY",#N/A,FALSE,"Sales"}</definedName>
    <definedName name="_y_d_wool_twill_coating">#REF!</definedName>
    <definedName name="_y_dye_cording_multi_stripe">#REF!</definedName>
    <definedName name="_ZA1">#REF!</definedName>
    <definedName name="_ZA2">#REF!</definedName>
    <definedName name="_ZZ16384">#REF!</definedName>
    <definedName name="_ㅐㅐㅓ" hidden="1">{"Provision_Budget",#N/A,FALSE,"Provision"}</definedName>
    <definedName name="\a">#REF!</definedName>
    <definedName name="\AE">#REF!</definedName>
    <definedName name="\AF">#REF!</definedName>
    <definedName name="\b">#REF!</definedName>
    <definedName name="\c">#REF!</definedName>
    <definedName name="\C1">#REF!</definedName>
    <definedName name="\C2">#REF!</definedName>
    <definedName name="\C3">#REF!</definedName>
    <definedName name="\d">#REF!</definedName>
    <definedName name="\e">#N/A</definedName>
    <definedName name="\f">#REF!</definedName>
    <definedName name="\G">#REF!</definedName>
    <definedName name="\H">#REF!</definedName>
    <definedName name="\I">#REF!</definedName>
    <definedName name="\J">#REF!</definedName>
    <definedName name="\m">#N/A</definedName>
    <definedName name="\N">#REF!</definedName>
    <definedName name="\P">#REF!</definedName>
    <definedName name="\q">#N/A</definedName>
    <definedName name="\R">#REF!</definedName>
    <definedName name="\S">#REF!</definedName>
    <definedName name="\U">#REF!</definedName>
    <definedName name="\V">#REF!</definedName>
    <definedName name="\Z">#REF!</definedName>
    <definedName name="a" hidden="1">{"'9월'!$F$38"}</definedName>
    <definedName name="ä">#REF!</definedName>
    <definedName name="A1_">#REF!</definedName>
    <definedName name="aa">#REF!</definedName>
    <definedName name="aaa">#REF!</definedName>
    <definedName name="aaaa" hidden="1">{"'9월'!$F$38"}</definedName>
    <definedName name="ABC" hidden="1">{#N/A,#N/A,FALSE,"95FW"}</definedName>
    <definedName name="ABP_RATE1">#REF!</definedName>
    <definedName name="ACC" hidden="1">{#N/A,#N/A,FALSE,"95FW"}</definedName>
    <definedName name="Access_Button" hidden="1">"전파월신탁분석_Sheet1_List"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Documents\전파월신탁분석.mdb"</definedName>
    <definedName name="aclub01" hidden="1">{"PL_Q",#N/A,FALSE,"P&amp;L_Q"}</definedName>
    <definedName name="Act_Vers">#REF!</definedName>
    <definedName name="Actaul_ContMTH">#REF!</definedName>
    <definedName name="Actual_MTH">#REF!</definedName>
    <definedName name="ActualBeyond">실제기간*(#REF!&gt;0)</definedName>
    <definedName name="Actuals_Month">#REF!</definedName>
    <definedName name="ad">#REF!</definedName>
    <definedName name="add">#REF!</definedName>
    <definedName name="added">#REF!</definedName>
    <definedName name="ADFA">BlankMacro1</definedName>
    <definedName name="adiGolf">#REF!</definedName>
    <definedName name="AERGTQERG">#REF!</definedName>
    <definedName name="AFAC">#REF!</definedName>
    <definedName name="AFAF">#N/A</definedName>
    <definedName name="AFAFS">#REF!</definedName>
    <definedName name="aG">#REF!</definedName>
    <definedName name="AGAGGGGGGGGGG">BlankMacro1</definedName>
    <definedName name="aGbuds">#REF!</definedName>
    <definedName name="aGFcst">#REF!</definedName>
    <definedName name="aGFcstCont">#REF!</definedName>
    <definedName name="AllowedDeviation">#REF!</definedName>
    <definedName name="AM목표3" hidden="1">{"'9월'!$F$38"}</definedName>
    <definedName name="ANALYTICAL">#REF!</definedName>
    <definedName name="anscount" hidden="1">1</definedName>
    <definedName name="Antonio_Start_Currency">#REF!</definedName>
    <definedName name="Antonio_Start_Division">#REF!</definedName>
    <definedName name="Appl">#REF!</definedName>
    <definedName name="APTM">#REF!</definedName>
    <definedName name="ARMU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{#N/A,#N/A,TRUE,"변동비고정비분류(5단계)";#N/A,#N/A,TRUE,"변동비고정비분류(5단계)"}</definedName>
    <definedName name="asd" hidden="1">{#N/A,#N/A,FALSE,"95FW"}</definedName>
    <definedName name="asdasdasdad" hidden="1">{#N/A,#N/A,FALSE,"95FW"}</definedName>
    <definedName name="ASDFASD">#REF!</definedName>
    <definedName name="ASDFASDF">#REF!</definedName>
    <definedName name="asdfasf">#REF!</definedName>
    <definedName name="asdgf" hidden="1">{"'9월'!$F$38"}</definedName>
    <definedName name="asem">#REF!</definedName>
    <definedName name="B">#REF!</definedName>
    <definedName name="ban" hidden="1">{#N/A,#N/A,FALSE,"P.C.B"}</definedName>
    <definedName name="BEST10" hidden="1">{"'9월'!$F$38"}</definedName>
    <definedName name="BG">#REF!</definedName>
    <definedName name="BG_Del" hidden="1">15</definedName>
    <definedName name="BG_Ins" hidden="1">4</definedName>
    <definedName name="BG_Mod" hidden="1">6</definedName>
    <definedName name="bizforms">"bizforms.co.kr"</definedName>
    <definedName name="BO_Eur_SALES">#REF!</definedName>
    <definedName name="book1" hidden="1">{#N/A,#N/A,FALSE,"95FW"}</definedName>
    <definedName name="bpfc">#REF!</definedName>
    <definedName name="Brand">#REF!</definedName>
    <definedName name="BRANDMGMT">#REF!</definedName>
    <definedName name="bvbm" hidden="1">{"'9월'!$F$38"}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RELABEL">#REF!</definedName>
    <definedName name="CC">#REF!</definedName>
    <definedName name="CC_Code">#REF!</definedName>
    <definedName name="ccc" hidden="1">{"ARvsSales",#N/A,FALSE,"GraphARvsSales"}</definedName>
    <definedName name="CD">#REF!</definedName>
    <definedName name="CHANG" hidden="1">{#N/A,#N/A,FALSE,"P.C.B"}</definedName>
    <definedName name="Claus_Start_Currency">#REF!</definedName>
    <definedName name="Claus_Start_Division">#REF!</definedName>
    <definedName name="CLIENT_NAME">#REF!</definedName>
    <definedName name="CO">#REF!</definedName>
    <definedName name="COAT2장">#REF!</definedName>
    <definedName name="code">#REF!</definedName>
    <definedName name="COM">#REF!</definedName>
    <definedName name="COMCODE">#REF!</definedName>
    <definedName name="COMPANY">#REF!</definedName>
    <definedName name="Connected_Consult">#REF!</definedName>
    <definedName name="_xlnm.Consolidate_Area" hidden="1">#REF!</definedName>
    <definedName name="cont" hidden="1">#REF!</definedName>
    <definedName name="Control_sheet">#REF!</definedName>
    <definedName name="CONVERSION">#REF!</definedName>
    <definedName name="cost">#REF!</definedName>
    <definedName name="Country_name">#REF!</definedName>
    <definedName name="crinkled_ctn_blend">#REF!</definedName>
    <definedName name="_xlnm.Criteria">#REF!</definedName>
    <definedName name="ctry">#REF!</definedName>
    <definedName name="CTRY_NAME1">#REF!</definedName>
    <definedName name="CTRY_NAME2">#REF!</definedName>
    <definedName name="CUR">#REF!</definedName>
    <definedName name="Currency">#REF!</definedName>
    <definedName name="CURRENT">#REF!</definedName>
    <definedName name="Current_Month">#REF!</definedName>
    <definedName name="CURRENTYEAR">#REF!</definedName>
    <definedName name="CUTTING">#REF!</definedName>
    <definedName name="CY">#REF!</definedName>
    <definedName name="D">#REF!</definedName>
    <definedName name="Dala">#REF!</definedName>
    <definedName name="data">#REF!</definedName>
    <definedName name="_xlnm.Database">#REF!</definedName>
    <definedName name="Database\">#REF!</definedName>
    <definedName name="Database1">#REF!</definedName>
    <definedName name="Date">#REF!</definedName>
    <definedName name="DaysAndWeeks">{0,1,2,3,4,5,6} + {0;1;2;3;4;5}*7</definedName>
    <definedName name="dd">#REF!</definedName>
    <definedName name="DDD">#REF!</definedName>
    <definedName name="DDDD" hidden="1">#REF!</definedName>
    <definedName name="ddddddddddd">#REF!</definedName>
    <definedName name="ddddddddddddddd" hidden="1">#REF!</definedName>
    <definedName name="DDDDDF">#REF!</definedName>
    <definedName name="Detail">#REF!</definedName>
    <definedName name="DEVANLAY">"Amort_Ecart_Acqui_Dla"</definedName>
    <definedName name="DF" hidden="1">{#N/A,#N/A,FALSE,"95FW"}</definedName>
    <definedName name="dfakdf" hidden="1">#REF!</definedName>
    <definedName name="DFASDF">#REF!</definedName>
    <definedName name="DFD" hidden="1">{#N/A,#N/A,FALSE,"95FW"}</definedName>
    <definedName name="dfdfd">#REF!</definedName>
    <definedName name="DFDFDF" hidden="1">{#N/A,#N/A,FALSE,"95FW"}</definedName>
    <definedName name="dfh" hidden="1">{"'9월'!$F$38"}</definedName>
    <definedName name="DGH" hidden="1">#REF!</definedName>
    <definedName name="DI">#REF!</definedName>
    <definedName name="Division">#REF!</definedName>
    <definedName name="dk" hidden="1">{"'9월'!$F$38"}</definedName>
    <definedName name="dkdiur" hidden="1">{"'10_03일자별'!$A$2:$H$31"}</definedName>
    <definedName name="dkn" hidden="1">{"'10_03일자별'!$A$2:$H$31"}</definedName>
    <definedName name="DKNY" hidden="1">{"'10_03일자별'!$A$2:$H$31"}</definedName>
    <definedName name="DKNYA" hidden="1">{"'10_03일자별'!$A$2:$H$31"}</definedName>
    <definedName name="DKNYD" hidden="1">{"'10_03일자별'!$A$2:$H$31"}</definedName>
    <definedName name="dnd" hidden="1">{#N/A,#N/A,FALSE,"P.C.B"}</definedName>
    <definedName name="document">#REF!</definedName>
    <definedName name="documnt">#REF!</definedName>
    <definedName name="domestic_ctn_twill">#REF!</definedName>
    <definedName name="Druckbereich_MI">#REF!</definedName>
    <definedName name="dryuu" hidden="1">{"'9월'!$F$38"}</definedName>
    <definedName name="DSA" hidden="1">#REF!</definedName>
    <definedName name="DSAD" hidden="1">#REF!</definedName>
    <definedName name="dss" hidden="1">{"AR",#N/A,FALSE,"ARsummary"}</definedName>
    <definedName name="dwg">#REF!</definedName>
    <definedName name="dwgno">#REF!</definedName>
    <definedName name="dygj6" hidden="1">#REF!</definedName>
    <definedName name="e" hidden="1">{"'9월'!$F$38"}</definedName>
    <definedName name="ecom">#REF!</definedName>
    <definedName name="ecom2">#REF!</definedName>
    <definedName name="ED">#REF!</definedName>
    <definedName name="EFAC">#REF!</definedName>
    <definedName name="efe">#REF!</definedName>
    <definedName name="ERMU">#REF!</definedName>
    <definedName name="ERT" hidden="1">#REF!</definedName>
    <definedName name="erw" hidden="1">#REF!</definedName>
    <definedName name="EURUSD">#REF!</definedName>
    <definedName name="excessSEM2" hidden="1">#REF!</definedName>
    <definedName name="_xlnm.Extract">#REF!</definedName>
    <definedName name="f" hidden="1">{"'9월'!$F$38"}</definedName>
    <definedName name="Fall1차" hidden="1">{#N/A,#N/A,FALSE,"95FW"}</definedName>
    <definedName name="fallwinter" hidden="1">{#N/A,#N/A,FALSE,"95FW"}</definedName>
    <definedName name="Fconrlng">#REF!</definedName>
    <definedName name="FContmth">#REF!</definedName>
    <definedName name="Fcontnum">#REF!</definedName>
    <definedName name="FCST">#REF!</definedName>
    <definedName name="FCST_Month">#REF!</definedName>
    <definedName name="Fcst_rate">#REF!</definedName>
    <definedName name="Fcst_rate1">#REF!</definedName>
    <definedName name="Fcst_rate2">#REF!</definedName>
    <definedName name="FcstaG">#REF!</definedName>
    <definedName name="FcstContMTH05">#REF!</definedName>
    <definedName name="FcstMX">#REF!</definedName>
    <definedName name="FcstSalesMTH">#REF!</definedName>
    <definedName name="FcstSalesMTH1">#REF!</definedName>
    <definedName name="FCSTSPLIT">#REF!</definedName>
    <definedName name="FcstTM">#REF!</definedName>
    <definedName name="fds" hidden="1">#REF!</definedName>
    <definedName name="ff">#REF!</definedName>
    <definedName name="ffff">#REF!</definedName>
    <definedName name="fffff" hidden="1">{"'9월'!$F$38"}</definedName>
    <definedName name="FG">#REF!</definedName>
    <definedName name="fgh" hidden="1">{"'9월'!$F$38"}</definedName>
    <definedName name="FHD" hidden="1">#REF!</definedName>
    <definedName name="fhj" hidden="1">{"'9월'!$F$38"}</definedName>
    <definedName name="FILL" hidden="1">#REF!</definedName>
    <definedName name="FIRR">#REF!</definedName>
    <definedName name="FIRR분석">#REF!</definedName>
    <definedName name="FJG" hidden="1">#REF!</definedName>
    <definedName name="FK">#REF!</definedName>
    <definedName name="fob">#REF!</definedName>
    <definedName name="fobbb">#REF!</definedName>
    <definedName name="fobbbbb">#REF!</definedName>
    <definedName name="Footwear_List">#REF!</definedName>
    <definedName name="Freq">#REF!</definedName>
    <definedName name="fsalerlng">#REF!</definedName>
    <definedName name="FT">#REF!</definedName>
    <definedName name="Function">#REF!</definedName>
    <definedName name="FVF" hidden="1">#REF!</definedName>
    <definedName name="FW" hidden="1">{#N/A,#N/A,FALSE,"95FW"}</definedName>
    <definedName name="FW_T1_LOP_Baseline_w__Prod_Classification">#REF!</definedName>
    <definedName name="g">#REF!</definedName>
    <definedName name="GCOA">#REF!</definedName>
    <definedName name="gg">#REF!</definedName>
    <definedName name="GHL" hidden="1">#REF!</definedName>
    <definedName name="GJGJG" hidden="1">#REF!</definedName>
    <definedName name="gkstmdcjf" hidden="1">{#N/A,#N/A,FALSE,"DSOsummary"}</definedName>
    <definedName name="graph2">#REF!</definedName>
    <definedName name="h" hidden="1">{"'9월'!$F$38"}</definedName>
    <definedName name="HH">#REF!</definedName>
    <definedName name="HJ">#REF!</definedName>
    <definedName name="hjjk" hidden="1">{"'9월'!$F$38"}</definedName>
    <definedName name="hjk" hidden="1">{"'9월'!$F$38"}</definedName>
    <definedName name="hkgk" hidden="1">{"'9월'!$F$38"}</definedName>
    <definedName name="HOLI">#REF!</definedName>
    <definedName name="HTML_CodePage" hidden="1">949</definedName>
    <definedName name="HTML_Control" hidden="1">{"'9월'!$F$38"}</definedName>
    <definedName name="html_control01" hidden="1">{"'现金流量表（全部投资）'!$B$4:$P$23"}</definedName>
    <definedName name="HTML_Description" hidden="1">""</definedName>
    <definedName name="HTML_Email" hidden="1">""</definedName>
    <definedName name="HTML_Header" hidden="1">"9월"</definedName>
    <definedName name="HTML_LastUpdate" hidden="1">"99-08-19"</definedName>
    <definedName name="HTML_LineAfter" hidden="1">FALSE</definedName>
    <definedName name="HTML_LineBefore" hidden="1">FALSE</definedName>
    <definedName name="HTML_Name" hidden="1">"문정웅"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"\\TIJANG\冬扇房\MyHTML.htm"</definedName>
    <definedName name="HTML_PathTemplate" hidden="1">"C:\My Documents\HTMLTemp.htm"</definedName>
    <definedName name="HTML_Title" hidden="1">"지점집행계획1"</definedName>
    <definedName name="HTML1_1" hidden="1">"'[클레임.xls]클레임 기안'!$A$2:$I$34"</definedName>
    <definedName name="HTML1_10" hidden="1">""</definedName>
    <definedName name="HTML1_11" hidden="1">1</definedName>
    <definedName name="HTML1_12">"C:\My Documents\MyHTML.htm"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0" hidden="1">""</definedName>
    <definedName name="HTML10_11" hidden="1">1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0" hidden="1">""</definedName>
    <definedName name="HTML11_11" hidden="1">1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0" hidden="1">""</definedName>
    <definedName name="HTML12_11" hidden="1">1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0" hidden="1">""</definedName>
    <definedName name="HTML13_11" hidden="1">1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0" hidden="1">""</definedName>
    <definedName name="HTML14_11" hidden="1">1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0" hidden="1">""</definedName>
    <definedName name="HTML15_11" hidden="1">1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0" hidden="1">""</definedName>
    <definedName name="HTML16_11" hidden="1">1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0" hidden="1">""</definedName>
    <definedName name="HTML17_11" hidden="1">1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0" hidden="1">""</definedName>
    <definedName name="HTML18_11" hidden="1">1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0" hidden="1">""</definedName>
    <definedName name="HTML19_11" hidden="1">1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0" hidden="1">""</definedName>
    <definedName name="HTML2_11" hidden="1">1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0" hidden="1">""</definedName>
    <definedName name="HTML20_11" hidden="1">1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0" hidden="1">""</definedName>
    <definedName name="HTML21_11" hidden="1">1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0" hidden="1">""</definedName>
    <definedName name="HTML22_11" hidden="1">1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0" hidden="1">""</definedName>
    <definedName name="HTML23_11" hidden="1">1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0" hidden="1">""</definedName>
    <definedName name="HTML24_11" hidden="1">1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0" hidden="1">""</definedName>
    <definedName name="HTML25_11" hidden="1">1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0" hidden="1">""</definedName>
    <definedName name="HTML26_11" hidden="1">1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0" hidden="1">""</definedName>
    <definedName name="HTML27_11" hidden="1">1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0" hidden="1">""</definedName>
    <definedName name="HTML28_11" hidden="1">1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0" hidden="1">""</definedName>
    <definedName name="HTML29_11" hidden="1">1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0" hidden="1">""</definedName>
    <definedName name="HTML3_11" hidden="1">1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0" hidden="1">""</definedName>
    <definedName name="HTML30_11" hidden="1">1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0" hidden="1">""</definedName>
    <definedName name="HTML4_11" hidden="1">1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0" hidden="1">""</definedName>
    <definedName name="HTML5_11" hidden="1">1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0" hidden="1">""</definedName>
    <definedName name="HTML6_11" hidden="1">1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0" hidden="1">""</definedName>
    <definedName name="HTML8_11" hidden="1">1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0" hidden="1">""</definedName>
    <definedName name="HTML9_11" hidden="1">1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nchic">#REF!</definedName>
    <definedName name="inno">#REF!</definedName>
    <definedName name="INPUT">#REF!</definedName>
    <definedName name="Inventory" hidden="1">{"Provision_Budget",#N/A,FALSE,"Provision"}</definedName>
    <definedName name="IO_code">#REF!</definedName>
    <definedName name="item">#REF!</definedName>
    <definedName name="jdfhdsk">#REF!</definedName>
    <definedName name="JGH">#REF!</definedName>
    <definedName name="JJJ" hidden="1">#REF!</definedName>
    <definedName name="JPYEUR">#REF!</definedName>
    <definedName name="JPYUSD">#REF!</definedName>
    <definedName name="Jutta_Start_Currency">#REF!</definedName>
    <definedName name="Jutta_Start_Division">#REF!</definedName>
    <definedName name="Kai_Start_Currency">#REF!</definedName>
    <definedName name="Kai_Start_Division">#REF!</definedName>
    <definedName name="kk">#REF!</definedName>
    <definedName name="KKJHJ" hidden="1">{#N/A,#N/A,FALSE,"95FW"}</definedName>
    <definedName name="kll" hidden="1">{"'9월'!$F$38"}</definedName>
    <definedName name="KNSW2차발주">#REF!</definedName>
    <definedName name="KOPF">#REF!</definedName>
    <definedName name="l">#REF!</definedName>
    <definedName name="LAGE">#REF!</definedName>
    <definedName name="LC">#REF!</definedName>
    <definedName name="LFAC">#REF!</definedName>
    <definedName name="LIST">#REF!</definedName>
    <definedName name="llll">BlankMacro1</definedName>
    <definedName name="LOT">#REF!</definedName>
    <definedName name="LRMU">#REF!</definedName>
    <definedName name="LT">#REF!</definedName>
    <definedName name="lt_wt_cord">#REF!</definedName>
    <definedName name="lt_wt_slub_canvas">#REF!</definedName>
    <definedName name="LY" hidden="1">#REF!</definedName>
    <definedName name="LY_Name">#REF!</definedName>
    <definedName name="M" hidden="1">{#N/A,#N/A,FALSE,"95FW"}</definedName>
    <definedName name="M.YTD">#REF!</definedName>
    <definedName name="M_Drama" hidden="1">#REF!</definedName>
    <definedName name="Macro1">#REF!</definedName>
    <definedName name="Macro10">#REF!</definedName>
    <definedName name="Macro12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kgapa">#REF!</definedName>
    <definedName name="Map" hidden="1">#REF!</definedName>
    <definedName name="Maxfli">#REF!</definedName>
    <definedName name="MBC_D" hidden="1">#REF!</definedName>
    <definedName name="Men" hidden="1">{"'10_03일자별'!$A$2:$H$31"}</definedName>
    <definedName name="Mgt_Perf">#REF!,#REF!</definedName>
    <definedName name="MI">#REF!</definedName>
    <definedName name="MIDDLE">#REF!</definedName>
    <definedName name="MONTH">#REF!</definedName>
    <definedName name="MonthFcstCon05">#REF!</definedName>
    <definedName name="MonthFcstCont">#REF!</definedName>
    <definedName name="MONTHLY">#REF!</definedName>
    <definedName name="months">#REF!</definedName>
    <definedName name="MonthSales">#REF!</definedName>
    <definedName name="msg">#REF!</definedName>
    <definedName name="MT">#REF!</definedName>
    <definedName name="MX">#REF!</definedName>
    <definedName name="MX06BUD">#REF!</definedName>
    <definedName name="MX06DIS">#REF!</definedName>
    <definedName name="MX06STOCK">#REF!</definedName>
    <definedName name="MX06WHL">#REF!</definedName>
    <definedName name="MXbuds">#REF!</definedName>
    <definedName name="MXFcst">#REF!</definedName>
    <definedName name="MXFcstCont">#REF!</definedName>
    <definedName name="n">#REF!</definedName>
    <definedName name="NAME">#REF!</definedName>
    <definedName name="Nate_PIMS">#REF!</definedName>
    <definedName name="NEW" hidden="1">#REF!</definedName>
    <definedName name="NextABP_rate2">#REF!</definedName>
    <definedName name="NFAC">#REF!</definedName>
    <definedName name="no">#REF!</definedName>
    <definedName name="Non" hidden="1">#REF!</definedName>
    <definedName name="none">#REF!</definedName>
    <definedName name="NOTE">#REF!</definedName>
    <definedName name="NRMU">#REF!</definedName>
    <definedName name="ny" hidden="1">{#N/A,#N/A,FALSE,"95FW"}</definedName>
    <definedName name="NY_ABP">#REF!</definedName>
    <definedName name="ö">#REF!</definedName>
    <definedName name="Oct" hidden="1">{"ARvsSales",#N/A,FALSE,"GraphARvsSales"}</definedName>
    <definedName name="olp" hidden="1">{"P&amp;L_Quarterly",#N/A,FALSE,"P&amp;L_Qrtrly"}</definedName>
    <definedName name="order" hidden="1">#REF!</definedName>
    <definedName name="orp" hidden="1">34</definedName>
    <definedName name="OUTPUT">#REF!</definedName>
    <definedName name="P">#REF!</definedName>
    <definedName name="pad" hidden="1">#REF!</definedName>
    <definedName name="pcs">#REF!</definedName>
    <definedName name="PDH">#REF!</definedName>
    <definedName name="pen">#REF!</definedName>
    <definedName name="PercentCompleteBeyond">(#REF!=MEDIAN(#REF!,#REF!,#REF!+#REF!)*(#REF!&gt;0))*((#REF!&lt;(INT(#REF!+#REF!*#REF!)))+(#REF!=#REF!))*(#REF!&gt;0)</definedName>
    <definedName name="PERIOD_END">#REF!</definedName>
    <definedName name="period_selected">#REF!</definedName>
    <definedName name="PL">#REF!</definedName>
    <definedName name="PLL" hidden="1">{"PL_Q",#N/A,FALSE,"P&amp;L_Q"}</definedName>
    <definedName name="Portfolio">#REF!</definedName>
    <definedName name="Portpolio">#REF!</definedName>
    <definedName name="PPDH">#REF!</definedName>
    <definedName name="ppp" hidden="1">{"AR_PY",#N/A,FALSE,"AR"}</definedName>
    <definedName name="PrevFcst">#REF!</definedName>
    <definedName name="_xlnm.Print_Area">#N/A</definedName>
    <definedName name="Print_Area_MI">#REF!</definedName>
    <definedName name="Print_Title">#REF!</definedName>
    <definedName name="_xlnm.Print_Titles">#N/A</definedName>
    <definedName name="PRINT_TITLES_MI">#REF!</definedName>
    <definedName name="print_ttle">#REF!</definedName>
    <definedName name="PROVISIONS">#REF!</definedName>
    <definedName name="pucode">#REF!</definedName>
    <definedName name="PURCHASE">#REF!</definedName>
    <definedName name="q" hidden="1">{"'9월'!$F$38"}</definedName>
    <definedName name="QER">#REF!</definedName>
    <definedName name="QERTQ">#REF!</definedName>
    <definedName name="QQ">#REF!</definedName>
    <definedName name="qqqq" hidden="1">{#N/A,#N/A,FALSE,"P.C.B"}</definedName>
    <definedName name="qqqqqq">#REF!</definedName>
    <definedName name="qty">#REF!</definedName>
    <definedName name="Quarter">#REF!</definedName>
    <definedName name="qwe">#REF!</definedName>
    <definedName name="rateq1">#REF!</definedName>
    <definedName name="rateq2">#REF!</definedName>
    <definedName name="rateq3">#REF!</definedName>
    <definedName name="rateq4">#REF!</definedName>
    <definedName name="rates">#REF!</definedName>
    <definedName name="RATM">#REF!</definedName>
    <definedName name="re">#REF!</definedName>
    <definedName name="RELAST">#REF!</definedName>
    <definedName name="REPORT">#REF!</definedName>
    <definedName name="rk">#REF!</definedName>
    <definedName name="rksldjlfkghjchkjshd">#REF!</definedName>
    <definedName name="rmcCategory">"FCST1"</definedName>
    <definedName name="RMCOptions">"*100000000000000"</definedName>
    <definedName name="rmcPeriod">9712</definedName>
    <definedName name="RNRNRNR" hidden="1">{#N/A,#N/A,FALSE,"95FW"}</definedName>
    <definedName name="RQET">#REF!</definedName>
    <definedName name="rr">#REF!</definedName>
    <definedName name="RTQER">#REF!</definedName>
    <definedName name="RU">#REF!</definedName>
    <definedName name="ryu" hidden="1">{"'9월'!$F$38"}</definedName>
    <definedName name="S" hidden="1">#REF!</definedName>
    <definedName name="S432WTTS42">#REF!</definedName>
    <definedName name="SA" hidden="1">#REF!</definedName>
    <definedName name="SAD">{"'9월'!$F$38"}</definedName>
    <definedName name="SADSA" hidden="1">#REF!</definedName>
    <definedName name="SALES">#REF!</definedName>
    <definedName name="Sales_Area_Code">#REF!</definedName>
    <definedName name="SAPBEXdnldView" hidden="1">"444L5D8BWJZT78MLO028J2M1N"</definedName>
    <definedName name="SAPBEXhrIndnt" hidden="1">"Wide"</definedName>
    <definedName name="SAPBEXrevision" hidden="1">5</definedName>
    <definedName name="SAPBEXsysID" hidden="1">"PBW"</definedName>
    <definedName name="SAPBEXwbID" hidden="1">"461MV176AFZ8EMO9X5CXOB1LL"</definedName>
    <definedName name="SAPsysID" hidden="1">"708C5W7SBKP804JT78WJ0JNKI"</definedName>
    <definedName name="SAPwbID" hidden="1">"ARS"</definedName>
    <definedName name="Scaling">#REF!</definedName>
    <definedName name="SD">#REF!</definedName>
    <definedName name="SDDS">#REF!</definedName>
    <definedName name="SDF">#REF!</definedName>
    <definedName name="SDFSA">BlankMacro1</definedName>
    <definedName name="SDFSDFASDFASDF" hidden="1">{#N/A,#N/A,FALSE,"95FW"}</definedName>
    <definedName name="SEAFCSTTM">#REF!</definedName>
    <definedName name="seet3" hidden="1">{"'9월'!$F$38"}</definedName>
    <definedName name="server">#REF!</definedName>
    <definedName name="sfd" hidden="1">{#N/A,#N/A,FALSE,"95FW"}</definedName>
    <definedName name="sheet" hidden="1">{#N/A,#N/A,FALSE,"95FW"}</definedName>
    <definedName name="sheet1" hidden="1">{#N/A,#N/A,FALSE,"95FW"}</definedName>
    <definedName name="SHIN" hidden="1">{#N/A,#N/A,FALSE,"P.C.B"}</definedName>
    <definedName name="SHINKO">#REF!</definedName>
    <definedName name="SHOES_LINE">#N/A</definedName>
    <definedName name="SKU">#REF!</definedName>
    <definedName name="SO_NAME">#REF!</definedName>
    <definedName name="solid_ctn_poplin">#REF!</definedName>
    <definedName name="solver_lin" hidden="1">0</definedName>
    <definedName name="solver_num" hidden="1">0</definedName>
    <definedName name="solver_typ" hidden="1">3</definedName>
    <definedName name="solver_val" hidden="1">0.6</definedName>
    <definedName name="SOON" hidden="1">{#N/A,#N/A,FALSE,"P.C.B"}</definedName>
    <definedName name="spec">#REF!</definedName>
    <definedName name="SPR134202C113TBH1B0RTSUS">#REF!</definedName>
    <definedName name="SPR165C113TBH1B2RTSUS">#REF!</definedName>
    <definedName name="SPR188C103121TBH1B0RTSUS">#REF!</definedName>
    <definedName name="SPR188C116136TBH1B0RTSUS">#REF!</definedName>
    <definedName name="SPR188C127152TBH1B0RTSUS">#REF!</definedName>
    <definedName name="SPR188C95111TBH1B0RTSUS">#REF!</definedName>
    <definedName name="SPR190C3452RTSUS">#REF!</definedName>
    <definedName name="SPR190C5466RRSUS">#REF!</definedName>
    <definedName name="SPR190C5466RTSUS">#REF!</definedName>
    <definedName name="SPR193C127RTSUS">#REF!</definedName>
    <definedName name="SPR193C7798RTSUS">#REF!</definedName>
    <definedName name="SPR68127C113TBH1B2RTSUS">#REF!</definedName>
    <definedName name="ss" hidden="1">#REF!</definedName>
    <definedName name="sss" hidden="1">{"'9월'!$F$38"}</definedName>
    <definedName name="ssss" hidden="1">#REF!</definedName>
    <definedName name="sssssssss" hidden="1">{"'9월'!$F$38"}</definedName>
    <definedName name="SS마감예측">#REF!</definedName>
    <definedName name="Start_SheetsToPrint">#REF!</definedName>
    <definedName name="SW2차">#REF!</definedName>
    <definedName name="T">#REF!</definedName>
    <definedName name="TableName">"Dummy"</definedName>
    <definedName name="TaylorMade">#REF!</definedName>
    <definedName name="TEAMWEAR">#REF!</definedName>
    <definedName name="Temp">#REF!,#REF!,#REF!,#REF!,#REF!,#REF!,#REF!,#REF!,#REF!,#REF!,#REF!,#REF!,#REF!,#REF!,#REF!</definedName>
    <definedName name="test" hidden="1">{"PL_Q",#N/A,FALSE,"P&amp;L_Q"}</definedName>
    <definedName name="teste" hidden="1">{"ARvsSales_ByCountry",#N/A,FALSE,"GraphByCountry"}</definedName>
    <definedName name="TextRefCopyRangeCount" hidden="1">1</definedName>
    <definedName name="third_party">#REF!</definedName>
    <definedName name="third_party1">#REF!</definedName>
    <definedName name="third_party2">#REF!</definedName>
    <definedName name="third_party3">#REF!</definedName>
    <definedName name="tm">#REF!</definedName>
    <definedName name="tm3r">#REF!</definedName>
    <definedName name="TMaGFcst">#REF!</definedName>
    <definedName name="TMaGFcstC">#REF!</definedName>
    <definedName name="TMaGFcstCont">#REF!</definedName>
    <definedName name="TMaGFSUSD">#REF!</definedName>
    <definedName name="TMaGUSDMTH">#REF!</definedName>
    <definedName name="TMBudS">#REF!</definedName>
    <definedName name="TMFcst">#REF!</definedName>
    <definedName name="TMFcstCont">#REF!</definedName>
    <definedName name="tmr">#REF!</definedName>
    <definedName name="tops" hidden="1">{"'9월'!$F$38"}</definedName>
    <definedName name="TOTAL">#REF!</definedName>
    <definedName name="TPL">#REF!</definedName>
    <definedName name="TTL기획" hidden="1">{#N/A,#N/A,FALSE,"95FW"}</definedName>
    <definedName name="TTPL">#REF!</definedName>
    <definedName name="ttt" hidden="1">{"AR_CY",#N/A,FALSE,"AR"}</definedName>
    <definedName name="TY_ABP">#REF!</definedName>
    <definedName name="USD">#REF!</definedName>
    <definedName name="valuevx">42.314159</definedName>
    <definedName name="version">#REF!</definedName>
    <definedName name="VEST">#REF!</definedName>
    <definedName name="WACC">#REF!</definedName>
    <definedName name="wDA.Anzeige">#REF!</definedName>
    <definedName name="wDA.CurrencyUnit">#REF!</definedName>
    <definedName name="wDA.DimBRANDZelle">#REF!</definedName>
    <definedName name="wDA.DimCONTRACTZelle">#REF!</definedName>
    <definedName name="wDA.DimCURRENCYZelle">#REF!</definedName>
    <definedName name="wDA.DimDIVISIONZelle">#REF!</definedName>
    <definedName name="wDA.DimMONTHZelle">#REF!</definedName>
    <definedName name="wDA.DimPERIOD_FCZelle">#REF!</definedName>
    <definedName name="wDA.DimSTATUSZelle">#REF!</definedName>
    <definedName name="wDA.DimVER_EINGZelle">#REF!</definedName>
    <definedName name="wDA.DimVERALLZelle1">#REF!</definedName>
    <definedName name="wDA.DimVERALLZelle2">#REF!</definedName>
    <definedName name="wDA.DimVERALLZelle3">#REF!</definedName>
    <definedName name="wDA.DimYEARZelle">#REF!</definedName>
    <definedName name="wDA.DimYEARZelle1">#REF!</definedName>
    <definedName name="wDA.DimYEARZelle2">#REF!</definedName>
    <definedName name="wDA.DimYEARZelle3">#REF!</definedName>
    <definedName name="wDA.TabSCADI_FC">#REF!</definedName>
    <definedName name="wDA.TabSCADI_HR">#REF!</definedName>
    <definedName name="wDA.TabSCADI_OE">#REF!</definedName>
    <definedName name="wDA.TabSCADI_PL">#REF!</definedName>
    <definedName name="wDA.TabSCADI_SM">#REF!</definedName>
    <definedName name="wDA.TabSCADI_WB">#REF!</definedName>
    <definedName name="Week">#REF!</definedName>
    <definedName name="wer" hidden="1">{"'9월'!$F$38"}</definedName>
    <definedName name="WERQW">#REF!</definedName>
    <definedName name="white_non_see_thru_solid_ctn_poplin">#REF!</definedName>
    <definedName name="wide_wale_cord">#REF!</definedName>
    <definedName name="Winter" hidden="1">{#N/A,#N/A,FALSE,"95FW"}</definedName>
    <definedName name="wn">#REF!</definedName>
    <definedName name="wqetr" hidden="1">{"'9월'!$F$38"}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95._.fw._.진행현황." hidden="1">{#N/A,#N/A,FALSE,"95FW"}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ging._.and._.Trend._.Analysis." hidden="1">{#N/A,#N/A,FALSE,"Aging Summary";#N/A,#N/A,FALSE,"Ratio Analysis";#N/A,#N/A,FALSE,"Test 120 Day Accts";#N/A,#N/A,FALSE,"Tickmarks"}</definedName>
    <definedName name="wrn.AR." hidden="1">{"AR",#N/A,FALSE,"ARsummary"}</definedName>
    <definedName name="wrn.AR_Budget." hidden="1">{"AR_Budget",#N/A,FALSE,"AR"}</definedName>
    <definedName name="wrn.AR_CY." hidden="1">{"AR_CY",#N/A,FALSE,"AR"}</definedName>
    <definedName name="wrn.AR_PY." hidden="1">{"AR_PY",#N/A,FALSE,"AR"}</definedName>
    <definedName name="wrn.AR_vs_Sales." hidden="1">{"ARvsSales",#N/A,FALSE,"GraphARvsSales"}</definedName>
    <definedName name="wrn.AR_vs_Sales_by_Country." hidden="1">{"ARvsSales_ByCountry",#N/A,FALSE,"GraphByCountry"}</definedName>
    <definedName name="wrn.DSO_Budget." hidden="1">{"DSO_Budget",#N/A,FALSE,"DSOsummary"}</definedName>
    <definedName name="wrn.DSO_CY." hidden="1">{"DSO_CY",#N/A,FALSE,"DSOsummary"}</definedName>
    <definedName name="wrn.DSO_PY." hidden="1">{#N/A,#N/A,FALSE,"DSOsummary"}</definedName>
    <definedName name="wrn.DSO_rolling12." hidden="1">{"DSO1",#N/A,FALSE,"GraphDSO"}</definedName>
    <definedName name="wrn.DSO2." hidden="1">{"DSO2",#N/A,FALSE,"GraphDSO"}</definedName>
    <definedName name="wrn.PCB원가계산." hidden="1">{#N/A,#N/A,FALSE,"P.C.B"}</definedName>
    <definedName name="wrn.Provision." hidden="1">{"Provision2",#N/A,FALSE,"GraphProv"}</definedName>
    <definedName name="wrn.Provision_Budget." hidden="1">{"Provision_Budget",#N/A,FALSE,"Provision"}</definedName>
    <definedName name="wrn.Provision_CY." hidden="1">{"Provision_CY",#N/A,FALSE,"Provision"}</definedName>
    <definedName name="wrn.Provision_PY." hidden="1">{"Provision_PY",#N/A,FALSE,"Provision"}</definedName>
    <definedName name="wrn.Provision_rolling12." hidden="1">{"Provision1",#N/A,FALSE,"GraphProv"}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e_Budget." hidden="1">{"Sales_Budget",#N/A,FALSE,"Sales"}</definedName>
    <definedName name="wrn.Sales_CY." hidden="1">{"Sales_CY",#N/A,FALSE,"Sales"}</definedName>
    <definedName name="wrn.Sales_PY." hidden="1">{"Sales_PY",#N/A,FALSE,"Sales"}</definedName>
    <definedName name="wrn.구소민." hidden="1">{#N/A,#N/A,TRUE,"변동비고정비분류(5단계)";#N/A,#N/A,TRUE,"변동비고정비분류(5단계)"}</definedName>
    <definedName name="wrn.보험현황." hidden="1">{#N/A,#N/A,FALSE,"보험현황";#N/A,#N/A,FALSE,"보험현황"}</definedName>
    <definedName name="wrn.부문손익." hidden="1">{#N/A,#N/A,FALSE,"매출이익"}</definedName>
    <definedName name="wrn.손익보고." hidden="1">{#N/A,#N/A,FALSE,"표지";#N/A,#N/A,FALSE,"page1";#N/A,#N/A,FALSE,"page2";#N/A,#N/A,FALSE,"page3";#N/A,#N/A,FALSE,"별첨"}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SDFSDFSDF">#REF!</definedName>
    <definedName name="ww" hidden="1">{"P&amp;L_YTD",#N/A,FALSE,"P&amp;L_YTD"}</definedName>
    <definedName name="www" hidden="1">{#N/A,#N/A,FALSE,"95FW"}</definedName>
    <definedName name="wwww" hidden="1">{"P&amp;L_YTD",#N/A,FALSE,"P&amp;L_YTD"}</definedName>
    <definedName name="wwwww" hidden="1">{"Provision2",#N/A,FALSE,"GraphProv"}</definedName>
    <definedName name="X">#REF!</definedName>
    <definedName name="X04년_목표_설정기초_작업실3_List">#REF!</definedName>
    <definedName name="XRefColumnsCount" hidden="1">1</definedName>
    <definedName name="XRefCopyRangeCount" hidden="1">2</definedName>
    <definedName name="XRefPasteRangeCount" hidden="1">20</definedName>
    <definedName name="YEAR">#REF!</definedName>
    <definedName name="YEAR2003">#REF!</definedName>
    <definedName name="yikl" hidden="1">{"'9월'!$F$38"}</definedName>
    <definedName name="YTD_Month">#REF!</definedName>
    <definedName name="yyyyyy">#REF!</definedName>
    <definedName name="yyyyyyyyyyyyy" hidden="1">{#N/A,#N/A,FALSE,"95FW"}</definedName>
    <definedName name="yyyyyyyyyyyyyyyyyyyyyyyyyyyyyyyyyyyyyyyyyyyyyyyyyyyyyyyyyyyyyyyyyyyyyyy" hidden="1">{#N/A,#N/A,FALSE,"95FW"}</definedName>
    <definedName name="yyyyyyyyyyyyyyyyyyyyyyyyyyyyyyyyyyyyyyyyyyyyyyyyyyyyyyyyyyyyyyyyyyyyyyyyyyyyyyyyyyyyyyyyyyyyyyyyyy" hidden="1">{#N/A,#N/A,FALSE,"95FW"}</definedName>
    <definedName name="z" hidden="1">{"'9월'!$F$38"}</definedName>
    <definedName name="Z_F3C91721_4C6C_4F38_851C_D4534EAB675E_.wvu.PrintArea" hidden="1">#REF!</definedName>
    <definedName name="ZoomBereich">#REF!</definedName>
    <definedName name="zz" hidden="1">{"'9월'!$F$38"}</definedName>
    <definedName name="zzz">#REF!</definedName>
    <definedName name="zzzz">#REF!</definedName>
    <definedName name="zzzzz">#REF!</definedName>
    <definedName name="ㄱ" hidden="1">{"'9월'!$F$38"}</definedName>
    <definedName name="ㄱㄱ" hidden="1">{"'9월'!$F$38"}</definedName>
    <definedName name="ㄱㄱㄱ" hidden="1">{"'9월'!$F$38"}</definedName>
    <definedName name="ㄱㄴ">#REF!</definedName>
    <definedName name="ㄱㄹ">#REF!</definedName>
    <definedName name="가" hidden="1">{"'9월'!$F$38"}</definedName>
    <definedName name="가?o">#N/A</definedName>
    <definedName name="가o">#N/A</definedName>
    <definedName name="가격">#REF!</definedName>
    <definedName name="가격2">#REF!</definedName>
    <definedName name="가격대별진행_동주수정">#REF!</definedName>
    <definedName name="가격제안" hidden="1">{#N/A,#N/A,FALSE,"95FW"}</definedName>
    <definedName name="可供出售金融资产期末数">#REF!</definedName>
    <definedName name="可供出售金融资产年初数">#REF!</definedName>
    <definedName name="가나" hidden="1">{"'9월'!$F$38"}</definedName>
    <definedName name="가나다" hidden="1">{"'9월'!$F$38"}</definedName>
    <definedName name="가맹점등록" hidden="1">{"'9월'!$F$38"}</definedName>
    <definedName name="가브">#REF!</definedName>
    <definedName name="가사">#REF!</definedName>
    <definedName name="가을" hidden="1">{#N/A,#N/A,FALSE,"95FW"}</definedName>
    <definedName name="가을겨울" hidden="1">{#N/A,#N/A,FALSE,"95FW"}</definedName>
    <definedName name="가죽">#REF!</definedName>
    <definedName name="가중평균자본비용">#REF!</definedName>
    <definedName name="감가" hidden="1">{"'9월'!$F$38"}</definedName>
    <definedName name="감가2" hidden="1">{"'9월'!$F$38"}</definedName>
    <definedName name="감가계획" hidden="1">{"'9월'!$F$38"}</definedName>
    <definedName name="감가이력" hidden="1">{"'9월'!$F$38"}</definedName>
    <definedName name="감가이력2" hidden="1">{"'9월'!$F$38"}</definedName>
    <definedName name="감가이저" hidden="1">{"'9월'!$F$38"}</definedName>
    <definedName name="감다계획" hidden="1">{"'9월'!$F$38"}</definedName>
    <definedName name="开发支出期末数">#REF!</definedName>
    <definedName name="开发支出年初数">#REF!</definedName>
    <definedName name="개선안" hidden="1">#REF!</definedName>
    <definedName name="개선안2" hidden="1">#REF!</definedName>
    <definedName name="개선안3" hidden="1">#REF!</definedName>
    <definedName name="개요" hidden="1">#REF!</definedName>
    <definedName name="개요2" hidden="1">#REF!</definedName>
    <definedName name="거래처">#REF!</definedName>
    <definedName name="거래처CODE">#REF!</definedName>
    <definedName name="거래처범위">#REF!</definedName>
    <definedName name="건설기간중_이자율_타인">#REF!</definedName>
    <definedName name="검사번호">#REF!</definedName>
    <definedName name="결영" hidden="1">{#N/A,#N/A,FALSE,"P.C.B"}</definedName>
    <definedName name="경리" hidden="1">{#N/A,#N/A,FALSE,"P.C.B"}</definedName>
    <definedName name="경비" hidden="1">{"'现金流量表（全部投资）'!$B$4:$P$23"}</definedName>
    <definedName name="경비." hidden="1">{"'现金流量表（全部投资）'!$B$4:$P$23"}</definedName>
    <definedName name="경비분석" hidden="1">{"'现金流量表（全部投资）'!$B$4:$P$23"}</definedName>
    <definedName name="경영" hidden="1">{#N/A,#N/A,FALSE,"P.C.B"}</definedName>
    <definedName name="계약서">#REF!</definedName>
    <definedName name="계약시">#REF!</definedName>
    <definedName name="계정CODE">#REF!</definedName>
    <definedName name="계획" hidden="1">#REF!</definedName>
    <definedName name="계획기간">#REF!=MEDIAN(#REF!,#REF!,#REF!+#REF!-1)</definedName>
    <definedName name="고정비비교자세히" hidden="1">#REF!</definedName>
    <definedName name="固定资产减值准备期末数">#REF!</definedName>
    <definedName name="固定资产减值准备年初数">#REF!</definedName>
    <definedName name="固定资产期末数">#REF!</definedName>
    <definedName name="固定资产年初数">#REF!</definedName>
    <definedName name="固定资产净值">#REF!</definedName>
    <definedName name="공급금액">#REF!</definedName>
    <definedName name="공식">#REF!</definedName>
    <definedName name="公益金期末数">#REF!</definedName>
    <definedName name="공장장" hidden="1">{"'9월'!$F$38"}</definedName>
    <definedName name="공정">#REF!</definedName>
    <definedName name="공정명">#REF!</definedName>
    <definedName name="工程物资期末数">#REF!</definedName>
    <definedName name="工程物资年初数">#REF!</definedName>
    <definedName name="관리비증가율">#REF!</definedName>
    <definedName name="管理费用发生数">#REF!</definedName>
    <definedName name="管理费用本期发生数">#REF!</definedName>
    <definedName name="광주1">#REF!</definedName>
    <definedName name="交易性金融资产期末数">#REF!</definedName>
    <definedName name="交易性金融资产年初数">#REF!</definedName>
    <definedName name="교정감안DB" hidden="1">{"'9월'!$F$38"}</definedName>
    <definedName name="구">#REF!</definedName>
    <definedName name="구분">#REF!</definedName>
    <definedName name="구성계획">#REF!</definedName>
    <definedName name="구월사주">OFFSET(#REF!,0,0,COUNTA(#REF!)-1)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규격">#REF!</definedName>
    <definedName name="그룹맵" hidden="1">#REF!</definedName>
    <definedName name="그리기" hidden="1">{"'9월'!$F$38"}</definedName>
    <definedName name="그림">INDIRECT("사진!$C$"&amp;#REF!)</definedName>
    <definedName name="그림범위">#REF!</definedName>
    <definedName name="금액">#REF!</definedName>
    <definedName name="금호기타불량">#REF!</definedName>
    <definedName name="금호기획">#REF!</definedName>
    <definedName name="금호기획량">#REF!</definedName>
    <definedName name="금호요척량">#REF!</definedName>
    <definedName name="금호원불">#REF!</definedName>
    <definedName name="금호정품입고">#REF!</definedName>
    <definedName name="금호취불">#REF!</definedName>
    <definedName name="期末股东权益合计">#REF!</definedName>
    <definedName name="期末负债合计">#REF!</definedName>
    <definedName name="期末资产总计">#REF!</definedName>
    <definedName name="기타">#REF!</definedName>
    <definedName name="其他应交款期末数">#REF!</definedName>
    <definedName name="其他应交款年初数">#REF!</definedName>
    <definedName name="기획">#REF!,#REF!,#REF!,#REF!,#REF!,#REF!,#REF!,#REF!,#REF!,#REF!,#REF!,#REF!,#REF!,#REF!,#REF!</definedName>
    <definedName name="기획량">#REF!,#REF!,#REF!,#REF!,#REF!,#REF!,#REF!,#REF!,#REF!,#REF!,#REF!,#REF!,#REF!,#REF!,#REF!</definedName>
    <definedName name="김">{"'9월'!$F$38"}</definedName>
    <definedName name="김치" hidden="1">{"'9월'!$F$38"}</definedName>
    <definedName name="ㄳㅎ" hidden="1">{"'9월'!$F$38"}</definedName>
    <definedName name="ㄴ" hidden="1">{"'9월'!$F$38"}</definedName>
    <definedName name="ㄴㄴ">#REF!</definedName>
    <definedName name="ㄴㄴㄴㄴㄴ">#REF!</definedName>
    <definedName name="ㄴㄹㄴ">#REF!</definedName>
    <definedName name="ㄴㅇㄴ" hidden="1">#REF!</definedName>
    <definedName name="ㄴㅇㅇ">#REF!</definedName>
    <definedName name="ㄴㅇ호" hidden="1">{"'9월'!$F$38"}</definedName>
    <definedName name="나" hidden="1">{"'9월'!$F$38"}</definedName>
    <definedName name="나리" hidden="1">{#N/A,#N/A,FALSE,"P.C.B"}</definedName>
    <definedName name="나리2" hidden="1">{#N/A,#N/A,FALSE,"P.C.B"}</definedName>
    <definedName name="나영이">#REF!</definedName>
    <definedName name="남문식">#REF!</definedName>
    <definedName name="납기">#REF!</definedName>
    <definedName name="납품업체">#REF!</definedName>
    <definedName name="내용">#REF!</definedName>
    <definedName name="너애">#REF!</definedName>
    <definedName name="네" hidden="1">{#N/A,#N/A,FALSE,"P.C.B"}</definedName>
    <definedName name="넥">#REF!</definedName>
    <definedName name="년도">#REF!</definedName>
    <definedName name="年初未分配利润">#REF!</definedName>
    <definedName name="녜">#REF!</definedName>
    <definedName name="니니">#REF!</definedName>
    <definedName name="니트9만">#REF!</definedName>
    <definedName name="ㄷ교ㅗㅓ" hidden="1">{"'9월'!$F$38"}</definedName>
    <definedName name="ㄷㄳ" hidden="1">{"'9월'!$F$38"}</definedName>
    <definedName name="다">#REF!</definedName>
    <definedName name="다나">#REF!</definedName>
    <definedName name="단가">#REF!</definedName>
    <definedName name="단가표">#REF!</definedName>
    <definedName name="短期投资期末数">#REF!</definedName>
    <definedName name="短期投资年初数">#REF!</definedName>
    <definedName name="短期投资跌价准备期末数">#REF!</definedName>
    <definedName name="短期投资跌价准备年初数">#REF!</definedName>
    <definedName name="담당4월" hidden="1">{"'9월'!$F$38"}</definedName>
    <definedName name="당년">#REF!</definedName>
    <definedName name="당당" hidden="1">{"'9월'!$F$38"}</definedName>
    <definedName name="대">#REF!</definedName>
    <definedName name="대분류">#REF!</definedName>
    <definedName name="대여금인정이자" hidden="1">#REF!</definedName>
    <definedName name="대치대차" hidden="1">{#N/A,#N/A,FALSE,"매출이익"}</definedName>
    <definedName name="待摊费用期末数">#REF!</definedName>
    <definedName name="待摊费用期初数">#REF!</definedName>
    <definedName name="데">#REF!</definedName>
    <definedName name="도움">#REF!</definedName>
    <definedName name="드75600">#REF!</definedName>
    <definedName name="드레스셔츠">#REF!</definedName>
    <definedName name="ㄹ" hidden="1">{#N/A,#N/A,FALSE,"95FW"}</definedName>
    <definedName name="ㄹ462">#REF!</definedName>
    <definedName name="ㄹ46m">#N/A</definedName>
    <definedName name="ㄹㄴㅇㄹ">BlankMacro1</definedName>
    <definedName name="ㄹㄹ" hidden="1">{"'9월'!$F$38"}</definedName>
    <definedName name="ㄹㄹㄹ" hidden="1">{"'9월'!$F$38"}</definedName>
    <definedName name="ㄹㅇㄴ" hidden="1">{"'9월'!$F$38"}</definedName>
    <definedName name="레이젠">OFFSET(#REF!,0,0,COUNTA(#REF!)-1,1)</definedName>
    <definedName name="累计折旧期末数">#REF!</definedName>
    <definedName name="累计折旧年初数">#REF!</definedName>
    <definedName name="르까픙용품" hidden="1">{"'9월'!$F$38"}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리오더">#REF!</definedName>
    <definedName name="ㅀ" hidden="1">{"'9월'!$F$38"}</definedName>
    <definedName name="ㅀㅀ" hidden="1">#REF!</definedName>
    <definedName name="ㅁ">#REF!</definedName>
    <definedName name="ㅁ1">#REF!</definedName>
    <definedName name="ㅁ130">#REF!</definedName>
    <definedName name="ㅁㄱ" hidden="1">{"'9월'!$F$38"}</definedName>
    <definedName name="ㅁㄴ" hidden="1">#REF!</definedName>
    <definedName name="ㅁㄴㅁㄴㅁ" hidden="1">{#N/A,#N/A,FALSE,"95FW"}</definedName>
    <definedName name="ㅁㄴㅇㅎ" hidden="1">{"'9월'!$F$38"}</definedName>
    <definedName name="ㅁㅁ">#REF!</definedName>
    <definedName name="ㅁㅁㅁ" hidden="1">{"'9월'!$F$38"}</definedName>
    <definedName name="ㅁㅁㅁㅁ">#REF!</definedName>
    <definedName name="ㅁㅁㅁㅁㅁ" hidden="1">#REF!</definedName>
    <definedName name="ㅁㅁㅁㅁㅁㅁ" hidden="1">{"'9월'!$F$38"}</definedName>
    <definedName name="ㅁㅁㅁㅁㅁㅁㅁㅁㅁㅁㅁㅁㅁㅁ" hidden="1">{"'9월'!$F$38"}</definedName>
    <definedName name="ㅁㅇㅁㅇㅁㄴㅇㅁㄴㅇㅁㄴ" hidden="1">{#N/A,#N/A,FALSE,"95FW"}</definedName>
    <definedName name="ㅁㅈ83">#REF!</definedName>
    <definedName name="ㅁㅎㄹㄹ">#REF!</definedName>
    <definedName name="마감">#REF!</definedName>
    <definedName name="마감3333333">#REF!</definedName>
    <definedName name="마우송" hidden="1">{"'9월'!$F$38"}</definedName>
    <definedName name="매" hidden="1">{"'9월'!$F$38"}</definedName>
    <definedName name="매입" hidden="1">#REF!</definedName>
    <definedName name="매입가" hidden="1">{"'9월'!$F$38"}</definedName>
    <definedName name="매장" hidden="1">{"'9월'!$F$38"}</definedName>
    <definedName name="매출">#REF!</definedName>
    <definedName name="매출원가">#REF!</definedName>
    <definedName name="매출원가1" hidden="1">{#N/A,#N/A,FALSE,"Aging Summary";#N/A,#N/A,FALSE,"Ratio Analysis";#N/A,#N/A,FALSE,"Test 120 Day Accts";#N/A,#N/A,FALSE,"Tickmarks"}</definedName>
    <definedName name="머">#REF!</definedName>
    <definedName name="모냐" hidden="1">{#N/A,#N/A,FALSE,"95FW"}</definedName>
    <definedName name="모델명">#REF!</definedName>
    <definedName name="목" hidden="1">{"'9월'!$F$38"}</definedName>
    <definedName name="무상사용기간_및_통행료산정">#REF!</definedName>
    <definedName name="无形资产减值准备期末数">#REF!</definedName>
    <definedName name="无形资产减值准备期初数">#REF!</definedName>
    <definedName name="无形资产期末数">#REF!</definedName>
    <definedName name="无形资产年初数">#REF!</definedName>
    <definedName name="물가상승률">#REF!</definedName>
    <definedName name="물량">#REF!</definedName>
    <definedName name="물량계획" hidden="1">{#N/A,#N/A,FALSE,"95FW"}</definedName>
    <definedName name="뭐야.." hidden="1">{#N/A,#N/A,FALSE,"95FW"}</definedName>
    <definedName name="뭐지" hidden="1">{#N/A,#N/A,FALSE,"95FW"}</definedName>
    <definedName name="뭐지?">#REF!</definedName>
    <definedName name="미니맵">#REF!</definedName>
    <definedName name="未分配利润">#REF!</definedName>
    <definedName name="미수수익2">#REF!</definedName>
    <definedName name="미수이자00">#REF!</definedName>
    <definedName name="미스" hidden="1">{"'9월'!$F$38"}</definedName>
    <definedName name="未审数">#REF!</definedName>
    <definedName name="未审合计">#REF!</definedName>
    <definedName name="미오">#REF!</definedName>
    <definedName name="미지급" hidden="1">#REF!</definedName>
    <definedName name="ㅂ" hidden="1">{#N/A,#N/A,FALSE,"95FW"}</definedName>
    <definedName name="ㅂ1" hidden="1">{#N/A,#N/A,FALSE,"95FW"}</definedName>
    <definedName name="ㅂㅂㅂ" hidden="1">{"'9월'!$F$38"}</definedName>
    <definedName name="ㅂㅂㅂ2" hidden="1">{"'9월'!$F$38"}</definedName>
    <definedName name="ㅂㅂㅂㅂㅂ" hidden="1">{"'9월'!$F$38"}</definedName>
    <definedName name="ㅂㅂㅂㅂㅂㅂㅂㅂㅂ" hidden="1">{"Provision_Budget",#N/A,FALSE,"Provision"}</definedName>
    <definedName name="바지">#REF!</definedName>
    <definedName name="바지셔츠">#REF!</definedName>
    <definedName name="박래현" hidden="1">{"'9월'!$F$38"}</definedName>
    <definedName name="발주량">#REF!</definedName>
    <definedName name="발주진행">#REF!</definedName>
    <definedName name="발주판">#REF!</definedName>
    <definedName name="백나영">#REF!</definedName>
    <definedName name="번호">#REF!</definedName>
    <definedName name="법인세등_명세표">#REF!</definedName>
    <definedName name="법인세율">#REF!</definedName>
    <definedName name="벨">#REF!</definedName>
    <definedName name="복종">#REF!</definedName>
    <definedName name="복종별계획">#REF!</definedName>
    <definedName name="본봉">#REF!</definedName>
    <definedName name="본부" hidden="1">#REF!</definedName>
    <definedName name="봄" hidden="1">{#N/A,#N/A,FALSE,"95FW"}</definedName>
    <definedName name="부품명">#REF!</definedName>
    <definedName name="분류CODE">#REF!</definedName>
    <definedName name="분류명">#REF!</definedName>
    <definedName name="분류명CODE">#REF!</definedName>
    <definedName name="분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불러올이미지">INDEX(#REF!,MATCH(#REF!,#REF!,0))</definedName>
    <definedName name="불변할인율">#REF!</definedName>
    <definedName name="브랜" hidden="1">{"'9월'!$F$38"}</definedName>
    <definedName name="브랜드">#REF!</definedName>
    <definedName name="브랜드별">#REF!</definedName>
    <definedName name="브랜드별매출계획">#REF!</definedName>
    <definedName name="备___注">#REF!</definedName>
    <definedName name="비고">#REF!,#REF!</definedName>
    <definedName name="비상연락3" hidden="1">{"'9월'!$F$38"}</definedName>
    <definedName name="ㅅㅅ" hidden="1">{"'9월'!$F$38"}</definedName>
    <definedName name="사랑두" hidden="1">{"'9월'!$F$38"}</definedName>
    <definedName name="사업" hidden="1">{#N/A,#N/A,FALSE,"95FW"}</definedName>
    <definedName name="사업계획" hidden="1">{"'9월'!$F$38"}</definedName>
    <definedName name="사업성">#REF!</definedName>
    <definedName name="사업주에대한_검토">#REF!</definedName>
    <definedName name="사이" hidden="1">{"'9월'!$F$38"}</definedName>
    <definedName name="사이즈" hidden="1">{"'9월'!$F$38"}</definedName>
    <definedName name="사전원가TOTAL">#REF!</definedName>
    <definedName name="사전원가종결">#REF!</definedName>
    <definedName name="산업기반신용보증료율">#REF!</definedName>
    <definedName name="상농">OFFSET(#REF!,0,0,COUNTA(#REF!)-1,1)</definedName>
    <definedName name="상농2">OFFSET(#REF!,0,0,COUNTA(#REF!)-1,1)</definedName>
    <definedName name="상설월별시트2" hidden="1">{#N/A,#N/A,FALSE,"95FW"}</definedName>
    <definedName name="상품" hidden="1">#REF!</definedName>
    <definedName name="상품우녕" hidden="1">{"'9월'!$F$38"}</definedName>
    <definedName name="상품이미지">INDEX(그림범위,MATCH(#REF!,항목범위,0))</definedName>
    <definedName name="새내기" hidden="1">{"'9월'!$F$38"}</definedName>
    <definedName name="索引号">#REF!</definedName>
    <definedName name="샘플수량1" hidden="1">{#N/A,#N/A,FALSE,"P.C.B"}</definedName>
    <definedName name="생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생산처">#REF!</definedName>
    <definedName name="생산판매">#REF!</definedName>
    <definedName name="서울전산">#REF!</definedName>
    <definedName name="성별">#REF!</definedName>
    <definedName name="세부안" hidden="1">#REF!</definedName>
    <definedName name="세부안2" hidden="1">#REF!</definedName>
    <definedName name="세부안3" hidden="1">#REF!</definedName>
    <definedName name="셔단">#REF!</definedName>
    <definedName name="셔드">#REF!</definedName>
    <definedName name="셔츠">#REF!</definedName>
    <definedName name="셔츠바지">#REF!</definedName>
    <definedName name="셔캐">#REF!</definedName>
    <definedName name="所得税本期数">#REF!</definedName>
    <definedName name="所得税上年同期数">#REF!</definedName>
    <definedName name="关联单位应收票据期末数">#REF!</definedName>
    <definedName name="关联方其他业务收入发生数">#REF!</definedName>
    <definedName name="关联方其他业务支出">#REF!</definedName>
    <definedName name="关联方预收账款期末数">#REF!</definedName>
    <definedName name="关联方应付股利期末数">#REF!</definedName>
    <definedName name="关联方应付票据期末数">#REF!</definedName>
    <definedName name="소소솟" hidden="1">{"'9월'!$F$38"}</definedName>
    <definedName name="销售给关联方商品发生数">#REF!</definedName>
    <definedName name="소요량">#REF!</definedName>
    <definedName name="손익분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쇼ㅓㅀㅇ" hidden="1">{"'9월'!$F$38"}</definedName>
    <definedName name="수4">#N/A</definedName>
    <definedName name="收到的其他经营活动现金">#REF!</definedName>
    <definedName name="수량">OFFSET(#REF!,0,0,COUNTA(#REF!)-1)</definedName>
    <definedName name="수수" hidden="1">{#N/A,#N/A,FALSE,"95FW"}</definedName>
    <definedName name="수수료정산" hidden="1">{#N/A,#N/A,FALSE,"95FW"}</definedName>
    <definedName name="수원추가" hidden="1">{"'9월'!$F$38"}</definedName>
    <definedName name="수입">#REF!</definedName>
    <definedName name="수정">#REF!</definedName>
    <definedName name="슈베">#REF!</definedName>
    <definedName name="슈상">#REF!</definedName>
    <definedName name="슈하">#REF!</definedName>
    <definedName name="스스">#REF!</definedName>
    <definedName name="시나리오">#REF!</definedName>
    <definedName name="시작_요일">#REF!</definedName>
    <definedName name="시즌">#REF!</definedName>
    <definedName name="신" hidden="1">{"'10_03일자별'!$A$2:$H$31"}</definedName>
    <definedName name="신발드롭" hidden="1">{"'9월'!$F$38"}</definedName>
    <definedName name="신발수정계획" hidden="1">{"'9월'!$F$38"}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>#REF!</definedName>
    <definedName name="실제">#REF!</definedName>
    <definedName name="실제기간">#REF!=MEDIAN(#REF!,#REF!,#REF!+#REF!-1)</definedName>
    <definedName name="ㅇ" hidden="1">{"'9월'!$F$38"}</definedName>
    <definedName name="ㅇㄴㄴㄴ">#REF!</definedName>
    <definedName name="ㅇㄹ" hidden="1">{"'9월'!$F$38"}</definedName>
    <definedName name="ㅇㅀ" hidden="1">{"'9월'!$F$38"}</definedName>
    <definedName name="ㅇㅇ">#REF!</definedName>
    <definedName name="ㅇㅇㅇ">#REF!</definedName>
    <definedName name="ㅇㅇㅇㅇ">#REF!</definedName>
    <definedName name="ㅇㅇㅇㅇㅇ" hidden="1">{"'9월'!$F$38"}</definedName>
    <definedName name="ㅇㅇㅇㅇㅇㅇㅇㅇㅇㅇㅇㅇㅇ">#REF!</definedName>
    <definedName name="ㅇㅎㅇㅎㄹㅇ" hidden="1">{#N/A,#N/A,FALSE,"매출이익"}</definedName>
    <definedName name="아" hidden="1">{"'10_03일자별'!$A$2:$H$31"}</definedName>
    <definedName name="아이템전략" hidden="1">{#N/A,#N/A,FALSE,"95FW"}</definedName>
    <definedName name="애인7">#REF!</definedName>
    <definedName name="액세사리수량결정">{"'9월'!$F$38"}</definedName>
    <definedName name="약정수수료율_1년이내">#REF!</definedName>
    <definedName name="약정수수료율_1년초과">#REF!</definedName>
    <definedName name="양">#REF!</definedName>
    <definedName name="양주" hidden="1">#REF!</definedName>
    <definedName name="양주2" hidden="1">#REF!</definedName>
    <definedName name="업무" hidden="1">{"'9월'!$F$38"}</definedName>
    <definedName name="업체">#REF!</definedName>
    <definedName name="업체명">#REF!</definedName>
    <definedName name="엘엘엘엘레레강강가아당" hidden="1">{"'9월'!$F$38"}</definedName>
    <definedName name="엘엘엘엘레레강스" hidden="1">{"'9월'!$F$38"}</definedName>
    <definedName name="엘지">OFFSET(#REF!,0,0,COUNTA(#REF!)-1,1)</definedName>
    <definedName name="연결정산표2" hidden="1">{#N/A,#N/A,FALSE,"Aging Summary";#N/A,#N/A,FALSE,"Ratio Analysis";#N/A,#N/A,FALSE,"Test 120 Day Accts";#N/A,#N/A,FALSE,"Tickmarks"}</definedName>
    <definedName name="영업" hidden="1">{#N/A,#N/A,FALSE,"P.C.B"}</definedName>
    <definedName name="영업비_및_일반관리비추정">#REF!</definedName>
    <definedName name="营业费用发生数">#REF!</definedName>
    <definedName name="营业成本本期发生数">#REF!</definedName>
    <definedName name="营业成本本年发生数">#REF!</definedName>
    <definedName name="营业成本上年发生数">#REF!</definedName>
    <definedName name="营业成本上年本期发生数">#REF!</definedName>
    <definedName name="营业税金本年发生数">#REF!</definedName>
    <definedName name="营业税金上年发生数">#REF!</definedName>
    <definedName name="营业收入本期发生数">#REF!</definedName>
    <definedName name="营业收入本年发生数">#REF!</definedName>
    <definedName name="营业收入上年发生数">#REF!</definedName>
    <definedName name="营业收入上年本期发生数">#REF!</definedName>
    <definedName name="영업외비용_추정">#REF!</definedName>
    <definedName name="营业外收入本年发生额">#REF!</definedName>
    <definedName name="营业外收入上年发生额">#REF!</definedName>
    <definedName name="营业外支出本年发生额">#REF!</definedName>
    <definedName name="营业外支出上年发生额">#REF!</definedName>
    <definedName name="盈余公积期末数">#REF!</definedName>
    <definedName name="盈余公积年初数">#REF!</definedName>
    <definedName name="영지전자">#REF!</definedName>
    <definedName name="예상마감" hidden="1">{"'9월'!$F$38"}</definedName>
    <definedName name="예상마감2" hidden="1">{"'9월'!$F$38"}</definedName>
    <definedName name="预收账款期末数">#REF!</definedName>
    <definedName name="预收帐款年初数">#REF!</definedName>
    <definedName name="预提费用期末数">#REF!</definedName>
    <definedName name="预提费用年初数">#REF!</definedName>
    <definedName name="오오오">#REF!</definedName>
    <definedName name="오오옹" hidden="1">#REF!</definedName>
    <definedName name="완료율">PercentCompleteBeyond*계획기간</definedName>
    <definedName name="요약" hidden="1">{"'9월'!$F$38"}</definedName>
    <definedName name="요척량">#REF!,#REF!,#REF!,#REF!,#REF!,#REF!,#REF!,#REF!,#REF!,#REF!,#REF!,#REF!,#REF!,#REF!,#REF!</definedName>
    <definedName name="용" hidden="1">{#N/A,#N/A,FALSE,"P.C.B"}</definedName>
    <definedName name="용도">#REF!</definedName>
    <definedName name="용품" hidden="1">{#N/A,#N/A,FALSE,"95FW"}</definedName>
    <definedName name="용품스케쥴" hidden="1">{#N/A,#N/A,FALSE,"95FW"}</definedName>
    <definedName name="우들스" hidden="1">{"'9월'!$F$38"}</definedName>
    <definedName name="우들스1" hidden="1">{"'9월'!$F$38"}</definedName>
    <definedName name="우들스예산2" hidden="1">{"'9월'!$F$38"}</definedName>
    <definedName name="우들스예산TV" hidden="1">{"'9월'!$F$38"}</definedName>
    <definedName name="우들스예싼" hidden="1">{"'9월'!$F$38"}</definedName>
    <definedName name="우리" hidden="1">{"'9월'!$F$38"}</definedName>
    <definedName name="우성전자">#REF!</definedName>
    <definedName name="우진기타불량">#REF!</definedName>
    <definedName name="우진기획">#REF!</definedName>
    <definedName name="우진기획량">#REF!</definedName>
    <definedName name="우진요척량">#REF!</definedName>
    <definedName name="우진원불">#REF!</definedName>
    <definedName name="우진정품입고">#REF!</definedName>
    <definedName name="우진취불">#REF!</definedName>
    <definedName name="운영기간중이자율_타인">#REF!</definedName>
    <definedName name="울">{"'9월'!$F$38"}</definedName>
    <definedName name="워크아웃">#REF!</definedName>
    <definedName name="원" hidden="1">{#N/A,#N/A,FALSE,"P.C.B"}</definedName>
    <definedName name="원가계">#REF!</definedName>
    <definedName name="원단처">#REF!</definedName>
    <definedName name="원본2" hidden="1">#REF!</definedName>
    <definedName name="원우">OFFSET(#REF!,0,0,COUNTA(#REF!)-1,1)</definedName>
    <definedName name="원인">#REF!</definedName>
    <definedName name="원자재">#REF!</definedName>
    <definedName name="원화">#REF!</definedName>
    <definedName name="월">#REF!</definedName>
    <definedName name="월드컵예싼17" hidden="1">{"'9월'!$F$38"}</definedName>
    <definedName name="월별본사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월별출고계획" hidden="1">{#N/A,#N/A,FALSE,"95FW"}</definedName>
    <definedName name="위더스">#REF!</definedName>
    <definedName name="유화처분" hidden="1">{#N/A,#N/A,FALSE,"매출이익"}</definedName>
    <definedName name="음" hidden="1">{"'9월'!$F$38"}</definedName>
    <definedName name="应交税金期末数">#REF!</definedName>
    <definedName name="应交税金年初数">#REF!</definedName>
    <definedName name="应付股利期末数">#REF!</definedName>
    <definedName name="应付股利期末数、">#REF!</definedName>
    <definedName name="应付普通股股利">#REF!</definedName>
    <definedName name="应付票据期末数">#REF!</definedName>
    <definedName name="应付票据年初数">#REF!</definedName>
    <definedName name="应收补贴款期末数">#REF!</definedName>
    <definedName name="应收补贴款年初数">#REF!</definedName>
    <definedName name="应收票据期末数">#REF!</definedName>
    <definedName name="应收票据年初数">#REF!</definedName>
    <definedName name="의루" hidden="1">{"'9월'!$F$38"}</definedName>
    <definedName name="의류" hidden="1">{"'9월'!$F$38"}</definedName>
    <definedName name="의류외주계획" hidden="1">{"'9월'!$F$38"}</definedName>
    <definedName name="이름모야" hidden="1">{#N/A,#N/A,FALSE,"95FW"}</definedName>
    <definedName name="이름충돌">#REF!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지">#REF!</definedName>
    <definedName name="이상하다" hidden="1">{"'9월'!$F$38"}</definedName>
    <definedName name="이상해" hidden="1">{"'9월'!$F$38"}</definedName>
    <definedName name="이소영" hidden="1">#REF!</definedName>
    <definedName name="인건비상승률">#REF!</definedName>
    <definedName name="인사" hidden="1">{#N/A,#N/A,FALSE,"P.C.B"}</definedName>
    <definedName name="인수잉여재고" hidden="1">{"'9월'!$F$38"}</definedName>
    <definedName name="一年内到期的长期负债">#REF!</definedName>
    <definedName name="일원전자">#REF!</definedName>
    <definedName name="일자">#REF!</definedName>
    <definedName name="임대비용" hidden="1">{"'现金流量表（全部投资）'!$B$4:$P$23"}</definedName>
    <definedName name="임원대차대조표" hidden="1">{#N/A,#N/A,FALSE,"매출이익"}</definedName>
    <definedName name="입고3">#REF!</definedName>
    <definedName name="입고구분">#REF!</definedName>
    <definedName name="입출금_10_" hidden="1">#REF!</definedName>
    <definedName name="ㅈ">#REF!</definedName>
    <definedName name="ㅈㄷㅅ" hidden="1">{"'9월'!$F$38"}</definedName>
    <definedName name="ㅈㅈ" hidden="1">{"'9월'!$F$38"}</definedName>
    <definedName name="자금계획2" hidden="1">#REF!</definedName>
    <definedName name="자기자본비용_인정이자">#REF!</definedName>
    <definedName name="자료" hidden="1">{#N/A,#N/A,FALSE,"95FW"}</definedName>
    <definedName name="资本公积期末数">#REF!</definedName>
    <definedName name="资本公积年初数">#REF!</definedName>
    <definedName name="자본변동표3" hidden="1">{#N/A,#N/A,FALSE,"Aging Summary";#N/A,#N/A,FALSE,"Ratio Analysis";#N/A,#N/A,FALSE,"Test 120 Day Accts";#N/A,#N/A,FALSE,"Tickmarks"}</definedName>
    <definedName name="资产减值损失本期发生额">#REF!</definedName>
    <definedName name="资产减值损失上期发生额">#REF!</definedName>
    <definedName name="자재종류">#REF!</definedName>
    <definedName name="자정">#REF!</definedName>
    <definedName name="자캐">#REF!</definedName>
    <definedName name="잔양" hidden="1">{#N/A,#N/A,FALSE,"P.C.B"}</definedName>
    <definedName name="长期股权投资期末数">#REF!</definedName>
    <definedName name="长期股权投资年初数">#REF!</definedName>
    <definedName name="长期待摊费用期末数">#REF!</definedName>
    <definedName name="长期待摊费用年初数">#REF!</definedName>
    <definedName name="长期借款期末数">#REF!</definedName>
    <definedName name="长期借款年初数">#REF!</definedName>
    <definedName name="长期投资减值准备期末数">#REF!</definedName>
    <definedName name="长期投资减值准备年初数">#REF!</definedName>
    <definedName name="在建工程期末数">#REF!</definedName>
    <definedName name="在建工程年初数">#REF!</definedName>
    <definedName name="재고단가">#REF!</definedName>
    <definedName name="재무">#REF!</definedName>
    <definedName name="财务费用发生数">#REF!</definedName>
    <definedName name="财务费用本期发生数">#REF!</definedName>
    <definedName name="전년">#REF!</definedName>
    <definedName name="전년동기비교프린트">#REF!</definedName>
    <definedName name="전략">#REF!</definedName>
    <definedName name="转作股本的普通股股利">#REF!</definedName>
    <definedName name="전체">#REF!</definedName>
    <definedName name="전체2">#REF!</definedName>
    <definedName name="전체실적" hidden="1">{"'9월'!$F$38"}</definedName>
    <definedName name="专项应付款期末数">#REF!</definedName>
    <definedName name="专项应付款年初数">#REF!</definedName>
    <definedName name="점" hidden="1">{"'9월'!$F$38"}</definedName>
    <definedName name="점브">#REF!</definedName>
    <definedName name="점사">#REF!</definedName>
    <definedName name="점손익3" hidden="1">{"'9월'!$F$38"}</definedName>
    <definedName name="점손익급여2" hidden="1">{"'9월'!$F$38"}</definedName>
    <definedName name="정기예금미수이자">#REF!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인6">#REF!</definedName>
    <definedName name="정품">#REF!,#REF!,#REF!,#REF!,#REF!,#REF!,#REF!,#REF!,#REF!,#REF!,#REF!,#REF!,#REF!,#REF!,#REF!</definedName>
    <definedName name="정호">#REF!</definedName>
    <definedName name="제목영역..BO60">#REF!</definedName>
    <definedName name="제일기타불량">#REF!</definedName>
    <definedName name="제일기획">#REF!</definedName>
    <definedName name="제일기획량">#REF!</definedName>
    <definedName name="제일요척량">#REF!</definedName>
    <definedName name="제일원불">#REF!</definedName>
    <definedName name="제일정품입고">#REF!</definedName>
    <definedName name="제일취불">#REF!</definedName>
    <definedName name="提取法定公益金">#REF!</definedName>
    <definedName name="提取法定盈余公积">#REF!</definedName>
    <definedName name="提取任意盈余公积">#REF!</definedName>
    <definedName name="제품명">#REF!</definedName>
    <definedName name="제품코드">#REF!</definedName>
    <definedName name="조립명">#REF!</definedName>
    <definedName name="조은미디어">#REF!</definedName>
    <definedName name="调整前年初未分配利润">#REF!</definedName>
    <definedName name="存货期末数">#REF!</definedName>
    <definedName name="存货年初数">#REF!</definedName>
    <definedName name="存货明细">#REF!</definedName>
    <definedName name="存货跌价准备期末数">#REF!</definedName>
    <definedName name="存货跌价准备年初数">#REF!</definedName>
    <definedName name="存货合计">#REF!</definedName>
    <definedName name="종류">#REF!</definedName>
    <definedName name="종류code">#REF!</definedName>
    <definedName name="从关联方购买商品发生数">#REF!</definedName>
    <definedName name="주민세율">#REF!</definedName>
    <definedName name="주상">#REF!</definedName>
    <definedName name="주소">#REF!</definedName>
    <definedName name="㈜이고">#REF!</definedName>
    <definedName name="주하">#REF!</definedName>
    <definedName name="主营业务税金及附加本期发生数">#REF!</definedName>
    <definedName name="主营业务税金发生数">#REF!</definedName>
    <definedName name="중">#REF!</definedName>
    <definedName name="중분">#REF!</definedName>
    <definedName name="중분류">#REF!</definedName>
    <definedName name="중장기" hidden="1">{"'9월'!$F$38"}</definedName>
    <definedName name="중포장">#REF!</definedName>
    <definedName name="지">#REF!</definedName>
    <definedName name="지급계획" hidden="1">{"'9월'!$F$38"}</definedName>
    <definedName name="支付的其他经营活动现金">#REF!</definedName>
    <definedName name="持有至到期期末数">#REF!</definedName>
    <definedName name="持有至到期投资年初数">#REF!</definedName>
    <definedName name="持有至致到期投资减值准备期末数">#REF!</definedName>
    <definedName name="持有至致到期投资减值准备年初数">#REF!</definedName>
    <definedName name="职工薪酬期末数">#REF!</definedName>
    <definedName name="职工薪酬期初余额">#REF!</definedName>
    <definedName name="진성기타불량">#REF!</definedName>
    <definedName name="진성기획">#REF!</definedName>
    <definedName name="진성기획량">#REF!</definedName>
    <definedName name="진성요척량">#REF!</definedName>
    <definedName name="진성원불">#REF!</definedName>
    <definedName name="진성정품입고">#REF!</definedName>
    <definedName name="진성취불">#REF!</definedName>
    <definedName name="진행보고" hidden="1">{#N/A,#N/A,FALSE,"95FW"}</definedName>
    <definedName name="진행보고1" hidden="1">{#N/A,#N/A,FALSE,"95FW"}</definedName>
    <definedName name="짜증1">#REF!</definedName>
    <definedName name="쨔" hidden="1">{#N/A,#N/A,FALSE,"95FW"}</definedName>
    <definedName name="ㅊ4ㅊ4ㄱㄷ">#REF!</definedName>
    <definedName name="ㅊㅊㅊ" hidden="1">{"'9월'!$F$38"}</definedName>
    <definedName name="차이현황1" hidden="1">#REF!</definedName>
    <definedName name="차입" hidden="1">#REF!</definedName>
    <definedName name="차입현황" hidden="1">#REF!</definedName>
    <definedName name="차트범위">#REF!,#REF!,#REF!,#REF!,#REF!</definedName>
    <definedName name="참고2" hidden="1">#REF!</definedName>
    <definedName name="递延所得税资产期末余额">#REF!</definedName>
    <definedName name="递延所得税资产年初余额">#REF!</definedName>
    <definedName name="递延收益期末数">#REF!</definedName>
    <definedName name="递延收益年初数">#REF!</definedName>
    <definedName name="총무" hidden="1">{#N/A,#N/A,FALSE,"P.C.B"}</definedName>
    <definedName name="총사업비분석">#REF!</definedName>
    <definedName name="총사업비추정">#REF!</definedName>
    <definedName name="최" hidden="1">{"'9월'!$F$38"}</definedName>
    <definedName name="추가">#REF!</definedName>
    <definedName name="추가입력">#REF!</definedName>
    <definedName name="추가자금" hidden="1">{"'9월'!$F$38"}</definedName>
    <definedName name="추정_CASH_FLOW">#REF!</definedName>
    <definedName name="추정CASH_FLOW">#REF!</definedName>
    <definedName name="추정대차대조표">#REF!</definedName>
    <definedName name="추정손익계산서">#REF!</definedName>
    <definedName name="춘아소트">#REF!</definedName>
    <definedName name="출고선">#REF!</definedName>
    <definedName name="출고처">#REF!</definedName>
    <definedName name="출장">BlankMacro1</definedName>
    <definedName name="칠월" hidden="1">{#N/A,#N/A,TRUE,"변동비고정비분류(5단계)";#N/A,#N/A,TRUE,"변동비고정비분류(5단계)"}</definedName>
    <definedName name="ㅋ">#REF!</definedName>
    <definedName name="ㅋㅋ" hidden="1">{"'9월'!$F$38"}</definedName>
    <definedName name="ㅋㅋㅋ" hidden="1">{"'9월'!$F$38"}</definedName>
    <definedName name="칼라수">#REF!,#REF!,#REF!,#REF!,#REF!,#REF!,#REF!,#REF!,#REF!,#REF!,#REF!,#REF!,#REF!,#REF!,#REF!,#REF!,#REF!,#REF!,#REF!</definedName>
    <definedName name="커">#REF!</definedName>
    <definedName name="컨버스" hidden="1">{"'9월'!$F$38"}</definedName>
    <definedName name="케이스위스" hidden="1">{"'9월'!$F$38"}</definedName>
    <definedName name="코방">#REF!</definedName>
    <definedName name="코트">#REF!</definedName>
    <definedName name="코프">#REF!</definedName>
    <definedName name="ㅌ야" hidden="1">{"'9월'!$F$38"}</definedName>
    <definedName name="ㅌㅌㅌ" hidden="1">{"'9월'!$F$38"}</definedName>
    <definedName name="태산">#REF!</definedName>
    <definedName name="택가계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통행량">#REF!</definedName>
    <definedName name="통행량분석">#REF!</definedName>
    <definedName name="통행료">#REF!</definedName>
    <definedName name="통행료산정">#REF!</definedName>
    <definedName name="통행료수입추정">#REF!</definedName>
    <definedName name="투" hidden="1">#REF!</definedName>
    <definedName name="투자3" hidden="1">{"'9월'!$F$38"}</definedName>
    <definedName name="投资性房地产期末余额">#REF!</definedName>
    <definedName name="投资性房地产年初余额">#REF!</definedName>
    <definedName name="投资收益本期金额">#REF!</definedName>
    <definedName name="投资收益上期金额">#REF!</definedName>
    <definedName name="티수정">BlankMacro1</definedName>
    <definedName name="ㅍㄹ">#REF!</definedName>
    <definedName name="ㅍㅍㅍ" hidden="1">{"'9월'!$F$38"}</definedName>
    <definedName name="파크랜드">#REF!</definedName>
    <definedName name="판매G" hidden="1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자료">#REF!</definedName>
    <definedName name="판매직접비" hidden="1">{"'10_03일자별'!$A$2:$H$31"}</definedName>
    <definedName name="판직비2" hidden="1">{"'10_03일자별'!$A$2:$H$31"}</definedName>
    <definedName name="팬단">#REF!</definedName>
    <definedName name="팬정">#REF!</definedName>
    <definedName name="팬진">#REF!</definedName>
    <definedName name="팬캐">#REF!</definedName>
    <definedName name="평균값" hidden="1">{#N/A,#N/A,FALSE,"95FW"}</definedName>
    <definedName name="평균이자율" hidden="1">#REF!</definedName>
    <definedName name="포적">#REF!</definedName>
    <definedName name="포트폴리">#REF!</definedName>
    <definedName name="포트폴리오">#REF!</definedName>
    <definedName name="표1" hidden="1">{#N/A,#N/A,FALSE,"P.C.B"}</definedName>
    <definedName name="표지" hidden="1">{#N/A,#N/A,FALSE,"95FW"}</definedName>
    <definedName name="표지1">#REF!</definedName>
    <definedName name="표표표" hidden="1">{#N/A,#N/A,FALSE,"P.C.B"}</definedName>
    <definedName name="품명">#REF!</definedName>
    <definedName name="품목">OFFSET(#REF!,0,0,COUNTA(#REF!),1)</definedName>
    <definedName name="품목_매출">OFFSET(#REF!,0,0,COUNTA(#REF!),1)</definedName>
    <definedName name="품목범위">#REF!</definedName>
    <definedName name="품목범위_매출">#REF!</definedName>
    <definedName name="품번">#REF!</definedName>
    <definedName name="품번등록">#REF!</definedName>
    <definedName name="품의" hidden="1">{"'9월'!$F$38"}</definedName>
    <definedName name="품평회" hidden="1">{"'9월'!$F$38"}</definedName>
    <definedName name="피드백">#REF!</definedName>
    <definedName name="핀">#REF!</definedName>
    <definedName name="ㅎ" hidden="1">#REF!</definedName>
    <definedName name="ㅎㅇㅁ" hidden="1">{#N/A,#N/A,FALSE,"95FW"}</definedName>
    <definedName name="ㅎㅎㅎ" hidden="1">{"'9월'!$F$38"}</definedName>
    <definedName name="ㅎㅎㅎㅎㅎ" hidden="1">{"'9월'!$F$38"}</definedName>
    <definedName name="하노이_경비">BlankMacro1</definedName>
    <definedName name="하노이경비">BlankMacro1</definedName>
    <definedName name="한솔">#REF!</definedName>
    <definedName name="한승철" hidden="1">{"P&amp;L_YTD",#N/A,FALSE,"P&amp;L_YTD"}</definedName>
    <definedName name="合___计">#REF!</definedName>
    <definedName name="항목범위">#REF!</definedName>
    <definedName name="행">#REF!</definedName>
    <definedName name="허시파피2" hidden="1">{"'9월'!$F$38"}</definedName>
    <definedName name="허시파피물류실적" hidden="1">{"'9월'!$F$38"}</definedName>
    <definedName name="헐크">#REF!</definedName>
    <definedName name="현상">#REF!</definedName>
    <definedName name="현수">BlankMacro1</definedName>
    <definedName name="현재가치할인차금">#REF!</definedName>
    <definedName name="현황판">#REF!</definedName>
    <definedName name="호칭">#REF!,#REF!,#REF!,#REF!,#REF!</definedName>
    <definedName name="호ㅓㅓㅏ" hidden="1">{"'9월'!$F$38"}</definedName>
    <definedName name="화이팅">#REF!</definedName>
    <definedName name="货币资金期末数">#REF!</definedName>
    <definedName name="货币资金年初数">#REF!</definedName>
    <definedName name="환산율">#REF!</definedName>
    <definedName name="환율">#REF!</definedName>
    <definedName name="회사">#REF!</definedName>
    <definedName name="회의" hidden="1">{"'9월'!$F$38"}</definedName>
    <definedName name="汇率">#REF!</definedName>
    <definedName name="희성">OFFSET(#REF!,0,0,COUNTA(#REF!)-1,1)</definedName>
    <definedName name="ㅏㅇ이ㅏ">#REF!</definedName>
    <definedName name="ㅏㅏ">#REF!</definedName>
    <definedName name="ㅐㅐㅐㅐ">{"'9월'!$F$38"}</definedName>
    <definedName name="ㅑ" hidden="1">{#N/A,#N/A,FALSE,"Aging Summary";#N/A,#N/A,FALSE,"Ratio Analysis";#N/A,#N/A,FALSE,"Test 120 Day Accts";#N/A,#N/A,FALSE,"Tickmarks"}</definedName>
    <definedName name="ㅓ" hidden="1">{"'9월'!$F$38"}</definedName>
    <definedName name="ㅓㅓㅓ">{"'9월'!$F$38"}</definedName>
    <definedName name="ㅔㅔㅔ" hidden="1">{#N/A,#N/A,FALSE,"95FW"}</definedName>
    <definedName name="ㅔㅔㅔㅔㅔ">#REF!</definedName>
    <definedName name="ㅕ" hidden="1">{#N/A,#N/A,FALSE,"Aging Summary";#N/A,#N/A,FALSE,"Ratio Analysis";#N/A,#N/A,FALSE,"Test 120 Day Accts";#N/A,#N/A,FALSE,"Tickmarks"}</definedName>
    <definedName name="ㅕ67">#REF!</definedName>
    <definedName name="ㅗ" hidden="1">{"'9월'!$F$38"}</definedName>
    <definedName name="ㅗㅎㅅㄱ" hidden="1">{"'9월'!$F$38"}</definedName>
    <definedName name="ㅗㅓ" hidden="1">{"'9월'!$F$38"}</definedName>
    <definedName name="ㅜㅜ" hidden="1">{"'9월'!$F$38"}</definedName>
    <definedName name="ㅠ385">#REF!</definedName>
    <definedName name="ㅠㅓㅏ" hidden="1">{"'9월'!$F$38"}</definedName>
    <definedName name="ㅣㅣ" hidden="1">{#N/A,#N/A,TRUE,"변동비고정비분류(5단계)";#N/A,#N/A,TRUE,"변동비고정비분류(5단계)"}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{"'변동비고정비분류(5단계)'!$A$1:$O$48"}</definedName>
    <definedName name="ㅣㅣㅣㅣㅣㅣ" hidden="1">{"'9월'!$F$38"}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8" i="1" l="1"/>
  <c r="BH57" i="1"/>
  <c r="BH59" i="1" s="1"/>
  <c r="BG57" i="1"/>
  <c r="BG59" i="1" s="1"/>
  <c r="BF57" i="1"/>
  <c r="BF59" i="1" s="1"/>
  <c r="BE57" i="1"/>
  <c r="BE59" i="1" s="1"/>
  <c r="BD57" i="1"/>
  <c r="BD59" i="1" s="1"/>
  <c r="BC57" i="1"/>
  <c r="BC59" i="1" s="1"/>
  <c r="BB57" i="1"/>
  <c r="BB59" i="1" s="1"/>
  <c r="BA57" i="1"/>
  <c r="BA59" i="1" s="1"/>
  <c r="AZ57" i="1"/>
  <c r="AZ59" i="1" s="1"/>
  <c r="AY57" i="1"/>
  <c r="AY59" i="1" s="1"/>
  <c r="AX57" i="1"/>
  <c r="AX59" i="1" s="1"/>
  <c r="AW57" i="1"/>
  <c r="AW59" i="1" s="1"/>
  <c r="AV57" i="1"/>
  <c r="AV59" i="1" s="1"/>
  <c r="AU57" i="1"/>
  <c r="AU59" i="1" s="1"/>
  <c r="AT57" i="1"/>
  <c r="AT59" i="1" s="1"/>
  <c r="AS57" i="1"/>
  <c r="AS59" i="1" s="1"/>
  <c r="AR57" i="1"/>
  <c r="AR59" i="1" s="1"/>
  <c r="AQ57" i="1"/>
  <c r="AQ59" i="1" s="1"/>
  <c r="AP57" i="1"/>
  <c r="AP59" i="1" s="1"/>
  <c r="AO57" i="1"/>
  <c r="AO59" i="1" s="1"/>
  <c r="AN57" i="1"/>
  <c r="AN59" i="1" s="1"/>
  <c r="AM57" i="1"/>
  <c r="AM59" i="1" s="1"/>
  <c r="AL57" i="1"/>
  <c r="AL59" i="1" s="1"/>
  <c r="AK57" i="1"/>
  <c r="AK59" i="1" s="1"/>
  <c r="AJ57" i="1"/>
  <c r="AJ59" i="1" s="1"/>
  <c r="AI57" i="1"/>
  <c r="AI59" i="1" s="1"/>
  <c r="AH57" i="1"/>
  <c r="AH59" i="1" s="1"/>
  <c r="AG57" i="1"/>
  <c r="AG59" i="1" s="1"/>
  <c r="AF57" i="1"/>
  <c r="AF59" i="1" s="1"/>
  <c r="AE57" i="1"/>
  <c r="AE59" i="1" s="1"/>
  <c r="AD57" i="1"/>
  <c r="AD59" i="1" s="1"/>
  <c r="AC57" i="1"/>
  <c r="AC59" i="1" s="1"/>
  <c r="AB57" i="1"/>
  <c r="AB59" i="1" s="1"/>
  <c r="AA57" i="1"/>
  <c r="AA59" i="1" s="1"/>
  <c r="Z57" i="1"/>
  <c r="Z59" i="1" s="1"/>
  <c r="Y57" i="1"/>
  <c r="Y59" i="1" s="1"/>
  <c r="X57" i="1"/>
  <c r="X59" i="1" s="1"/>
  <c r="W57" i="1"/>
  <c r="W59" i="1" s="1"/>
  <c r="V57" i="1"/>
  <c r="V59" i="1" s="1"/>
  <c r="U57" i="1"/>
  <c r="U59" i="1" s="1"/>
  <c r="T57" i="1"/>
  <c r="T59" i="1" s="1"/>
  <c r="S57" i="1"/>
  <c r="S59" i="1" s="1"/>
  <c r="R57" i="1"/>
  <c r="R59" i="1" s="1"/>
  <c r="Q57" i="1"/>
  <c r="Q59" i="1" s="1"/>
  <c r="P57" i="1"/>
  <c r="P59" i="1" s="1"/>
  <c r="O57" i="1"/>
  <c r="O59" i="1" s="1"/>
  <c r="N57" i="1"/>
  <c r="N59" i="1" s="1"/>
  <c r="M57" i="1"/>
  <c r="M59" i="1" s="1"/>
  <c r="L57" i="1"/>
  <c r="L59" i="1" s="1"/>
  <c r="K57" i="1"/>
  <c r="K59" i="1" s="1"/>
  <c r="J57" i="1"/>
  <c r="J59" i="1" s="1"/>
  <c r="I57" i="1"/>
  <c r="I59" i="1" s="1"/>
  <c r="H57" i="1"/>
  <c r="H59" i="1" s="1"/>
  <c r="P56" i="1"/>
  <c r="O56" i="1"/>
  <c r="N56" i="1"/>
  <c r="M56" i="1"/>
  <c r="L56" i="1"/>
  <c r="K56" i="1"/>
  <c r="J56" i="1"/>
  <c r="I56" i="1"/>
  <c r="H56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P58" i="1"/>
  <c r="P54" i="1"/>
  <c r="O54" i="1"/>
  <c r="N54" i="1"/>
  <c r="M54" i="1"/>
  <c r="L54" i="1"/>
  <c r="K54" i="1"/>
  <c r="J54" i="1"/>
  <c r="I54" i="1"/>
  <c r="B53" i="1"/>
  <c r="B52" i="1"/>
  <c r="AV50" i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D45" i="1"/>
  <c r="AG45" i="1"/>
  <c r="BH43" i="1"/>
  <c r="BH45" i="1" s="1"/>
  <c r="BG43" i="1"/>
  <c r="BG45" i="1" s="1"/>
  <c r="BF43" i="1"/>
  <c r="BF45" i="1" s="1"/>
  <c r="BE43" i="1"/>
  <c r="BE47" i="1" s="1"/>
  <c r="BD43" i="1"/>
  <c r="BD47" i="1" s="1"/>
  <c r="BC43" i="1"/>
  <c r="BB43" i="1"/>
  <c r="BB47" i="1" s="1"/>
  <c r="BA43" i="1"/>
  <c r="BA45" i="1" s="1"/>
  <c r="AZ43" i="1"/>
  <c r="AY43" i="1"/>
  <c r="AY45" i="1" s="1"/>
  <c r="AX43" i="1"/>
  <c r="AX45" i="1" s="1"/>
  <c r="AW43" i="1"/>
  <c r="AW45" i="1" s="1"/>
  <c r="AV43" i="1"/>
  <c r="AV45" i="1" s="1"/>
  <c r="AU43" i="1"/>
  <c r="AU45" i="1" s="1"/>
  <c r="AT43" i="1"/>
  <c r="AT45" i="1" s="1"/>
  <c r="AS43" i="1"/>
  <c r="AS47" i="1" s="1"/>
  <c r="AR43" i="1"/>
  <c r="AR45" i="1" s="1"/>
  <c r="AQ43" i="1"/>
  <c r="AP43" i="1"/>
  <c r="AP47" i="1" s="1"/>
  <c r="AO43" i="1"/>
  <c r="AO45" i="1" s="1"/>
  <c r="AN43" i="1"/>
  <c r="AM43" i="1"/>
  <c r="AM45" i="1" s="1"/>
  <c r="AL43" i="1"/>
  <c r="AL45" i="1" s="1"/>
  <c r="AK43" i="1"/>
  <c r="AK45" i="1" s="1"/>
  <c r="AJ43" i="1"/>
  <c r="AJ45" i="1" s="1"/>
  <c r="AI43" i="1"/>
  <c r="AI45" i="1" s="1"/>
  <c r="AH43" i="1"/>
  <c r="AH45" i="1" s="1"/>
  <c r="AG43" i="1"/>
  <c r="AG47" i="1" s="1"/>
  <c r="AF43" i="1"/>
  <c r="AF47" i="1" s="1"/>
  <c r="AE43" i="1"/>
  <c r="AD43" i="1"/>
  <c r="AD47" i="1" s="1"/>
  <c r="AC43" i="1"/>
  <c r="AC45" i="1" s="1"/>
  <c r="AB43" i="1"/>
  <c r="AA43" i="1"/>
  <c r="AA45" i="1" s="1"/>
  <c r="Z43" i="1"/>
  <c r="Z45" i="1" s="1"/>
  <c r="Y43" i="1"/>
  <c r="Y47" i="1" s="1"/>
  <c r="X43" i="1"/>
  <c r="X45" i="1" s="1"/>
  <c r="W43" i="1"/>
  <c r="W45" i="1" s="1"/>
  <c r="V43" i="1"/>
  <c r="V45" i="1" s="1"/>
  <c r="U43" i="1"/>
  <c r="U47" i="1" s="1"/>
  <c r="T43" i="1"/>
  <c r="T45" i="1" s="1"/>
  <c r="S43" i="1"/>
  <c r="R43" i="1"/>
  <c r="R47" i="1" s="1"/>
  <c r="Q43" i="1"/>
  <c r="Q45" i="1" s="1"/>
  <c r="P43" i="1"/>
  <c r="O43" i="1"/>
  <c r="O45" i="1" s="1"/>
  <c r="N43" i="1"/>
  <c r="N45" i="1" s="1"/>
  <c r="M43" i="1"/>
  <c r="M45" i="1" s="1"/>
  <c r="L43" i="1"/>
  <c r="L45" i="1" s="1"/>
  <c r="K43" i="1"/>
  <c r="K45" i="1" s="1"/>
  <c r="J43" i="1"/>
  <c r="J45" i="1" s="1"/>
  <c r="I43" i="1"/>
  <c r="I47" i="1" s="1"/>
  <c r="H43" i="1"/>
  <c r="H45" i="1" s="1"/>
  <c r="AA42" i="1"/>
  <c r="Z42" i="1"/>
  <c r="Z44" i="1" s="1"/>
  <c r="Y42" i="1"/>
  <c r="Y44" i="1" s="1"/>
  <c r="X42" i="1"/>
  <c r="W42" i="1"/>
  <c r="W44" i="1" s="1"/>
  <c r="V42" i="1"/>
  <c r="V44" i="1" s="1"/>
  <c r="U42" i="1"/>
  <c r="T42" i="1"/>
  <c r="T44" i="1" s="1"/>
  <c r="S42" i="1"/>
  <c r="S44" i="1" s="1"/>
  <c r="R42" i="1"/>
  <c r="R44" i="1" s="1"/>
  <c r="Q42" i="1"/>
  <c r="Q44" i="1" s="1"/>
  <c r="P42" i="1"/>
  <c r="P44" i="1" s="1"/>
  <c r="O42" i="1"/>
  <c r="O44" i="1" s="1"/>
  <c r="N42" i="1"/>
  <c r="N44" i="1" s="1"/>
  <c r="M42" i="1"/>
  <c r="M44" i="1" s="1"/>
  <c r="L42" i="1"/>
  <c r="K42" i="1"/>
  <c r="J42" i="1"/>
  <c r="J44" i="1" s="1"/>
  <c r="I42" i="1"/>
  <c r="H42" i="1"/>
  <c r="H44" i="1" s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B39" i="1"/>
  <c r="E38" i="1"/>
  <c r="B38" i="1"/>
  <c r="AV36" i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W33" i="1"/>
  <c r="V30" i="1"/>
  <c r="BH29" i="1"/>
  <c r="BG29" i="1"/>
  <c r="BG31" i="1" s="1"/>
  <c r="BF29" i="1"/>
  <c r="BF31" i="1" s="1"/>
  <c r="BE29" i="1"/>
  <c r="BE33" i="1" s="1"/>
  <c r="BD29" i="1"/>
  <c r="BD33" i="1" s="1"/>
  <c r="BC29" i="1"/>
  <c r="BC31" i="1" s="1"/>
  <c r="BB29" i="1"/>
  <c r="BB31" i="1" s="1"/>
  <c r="BA29" i="1"/>
  <c r="BA31" i="1" s="1"/>
  <c r="AZ29" i="1"/>
  <c r="AZ31" i="1" s="1"/>
  <c r="AY29" i="1"/>
  <c r="AY33" i="1" s="1"/>
  <c r="AX29" i="1"/>
  <c r="AX33" i="1" s="1"/>
  <c r="AW29" i="1"/>
  <c r="AV29" i="1"/>
  <c r="AU29" i="1"/>
  <c r="AU31" i="1" s="1"/>
  <c r="AT29" i="1"/>
  <c r="AT31" i="1" s="1"/>
  <c r="AS29" i="1"/>
  <c r="AS33" i="1" s="1"/>
  <c r="AR29" i="1"/>
  <c r="AR33" i="1" s="1"/>
  <c r="AQ29" i="1"/>
  <c r="AQ31" i="1" s="1"/>
  <c r="AP29" i="1"/>
  <c r="AP31" i="1" s="1"/>
  <c r="AO29" i="1"/>
  <c r="AO33" i="1" s="1"/>
  <c r="AN29" i="1"/>
  <c r="AN33" i="1" s="1"/>
  <c r="AM29" i="1"/>
  <c r="AM33" i="1" s="1"/>
  <c r="AL29" i="1"/>
  <c r="AL33" i="1" s="1"/>
  <c r="AK29" i="1"/>
  <c r="AJ29" i="1"/>
  <c r="AI29" i="1"/>
  <c r="AI31" i="1" s="1"/>
  <c r="AH29" i="1"/>
  <c r="AH31" i="1" s="1"/>
  <c r="AG29" i="1"/>
  <c r="AG33" i="1" s="1"/>
  <c r="AF29" i="1"/>
  <c r="AF33" i="1" s="1"/>
  <c r="AE29" i="1"/>
  <c r="AE31" i="1" s="1"/>
  <c r="AD29" i="1"/>
  <c r="AD31" i="1" s="1"/>
  <c r="AC29" i="1"/>
  <c r="AC31" i="1" s="1"/>
  <c r="AB29" i="1"/>
  <c r="AB31" i="1" s="1"/>
  <c r="AA29" i="1"/>
  <c r="AA33" i="1" s="1"/>
  <c r="Z29" i="1"/>
  <c r="Z33" i="1" s="1"/>
  <c r="Y29" i="1"/>
  <c r="X29" i="1"/>
  <c r="W29" i="1"/>
  <c r="W31" i="1" s="1"/>
  <c r="V29" i="1"/>
  <c r="V31" i="1" s="1"/>
  <c r="U29" i="1"/>
  <c r="U33" i="1" s="1"/>
  <c r="T29" i="1"/>
  <c r="T33" i="1" s="1"/>
  <c r="S29" i="1"/>
  <c r="S31" i="1" s="1"/>
  <c r="R29" i="1"/>
  <c r="R31" i="1" s="1"/>
  <c r="Q29" i="1"/>
  <c r="Q33" i="1" s="1"/>
  <c r="P29" i="1"/>
  <c r="P33" i="1" s="1"/>
  <c r="O29" i="1"/>
  <c r="O33" i="1" s="1"/>
  <c r="N29" i="1"/>
  <c r="N33" i="1" s="1"/>
  <c r="M29" i="1"/>
  <c r="L29" i="1"/>
  <c r="K29" i="1"/>
  <c r="K31" i="1" s="1"/>
  <c r="J29" i="1"/>
  <c r="J31" i="1" s="1"/>
  <c r="I29" i="1"/>
  <c r="I33" i="1" s="1"/>
  <c r="H29" i="1"/>
  <c r="H33" i="1" s="1"/>
  <c r="AA28" i="1"/>
  <c r="AA30" i="1" s="1"/>
  <c r="Z28" i="1"/>
  <c r="Z32" i="1" s="1"/>
  <c r="Y28" i="1"/>
  <c r="Y32" i="1" s="1"/>
  <c r="X28" i="1"/>
  <c r="X30" i="1" s="1"/>
  <c r="W28" i="1"/>
  <c r="W30" i="1" s="1"/>
  <c r="V28" i="1"/>
  <c r="V32" i="1" s="1"/>
  <c r="U28" i="1"/>
  <c r="U32" i="1" s="1"/>
  <c r="T28" i="1"/>
  <c r="T32" i="1" s="1"/>
  <c r="S28" i="1"/>
  <c r="S32" i="1" s="1"/>
  <c r="R28" i="1"/>
  <c r="Q28" i="1"/>
  <c r="P28" i="1"/>
  <c r="P30" i="1" s="1"/>
  <c r="O28" i="1"/>
  <c r="O30" i="1" s="1"/>
  <c r="N28" i="1"/>
  <c r="N32" i="1" s="1"/>
  <c r="M28" i="1"/>
  <c r="M32" i="1" s="1"/>
  <c r="L28" i="1"/>
  <c r="L30" i="1" s="1"/>
  <c r="K28" i="1"/>
  <c r="K30" i="1" s="1"/>
  <c r="J28" i="1"/>
  <c r="J32" i="1" s="1"/>
  <c r="I28" i="1"/>
  <c r="I32" i="1" s="1"/>
  <c r="H28" i="1"/>
  <c r="H32" i="1" s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B25" i="1"/>
  <c r="B24" i="1"/>
  <c r="AW22" i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AV22" i="1"/>
  <c r="Z11" i="1"/>
  <c r="N11" i="1"/>
  <c r="C9" i="1"/>
  <c r="B9" i="1" s="1"/>
  <c r="BH10" i="1"/>
  <c r="B8" i="1"/>
  <c r="E18" i="1" s="1"/>
  <c r="I6" i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AB33" i="1" l="1"/>
  <c r="H47" i="1"/>
  <c r="AZ33" i="1"/>
  <c r="J47" i="1"/>
  <c r="BA33" i="1"/>
  <c r="AM47" i="1"/>
  <c r="AR47" i="1"/>
  <c r="Y30" i="1"/>
  <c r="AG31" i="1"/>
  <c r="AF45" i="1"/>
  <c r="AN31" i="1"/>
  <c r="U30" i="1"/>
  <c r="AF31" i="1"/>
  <c r="L32" i="1"/>
  <c r="V33" i="1"/>
  <c r="AU33" i="1"/>
  <c r="Y45" i="1"/>
  <c r="Y46" i="1"/>
  <c r="AK47" i="1"/>
  <c r="O32" i="1"/>
  <c r="P32" i="1"/>
  <c r="Z30" i="1"/>
  <c r="AO31" i="1"/>
  <c r="AC33" i="1"/>
  <c r="BB33" i="1"/>
  <c r="M47" i="1"/>
  <c r="AT47" i="1"/>
  <c r="H31" i="1"/>
  <c r="AR31" i="1"/>
  <c r="AE33" i="1"/>
  <c r="BC33" i="1"/>
  <c r="AP45" i="1"/>
  <c r="O47" i="1"/>
  <c r="AU47" i="1"/>
  <c r="I31" i="1"/>
  <c r="AS31" i="1"/>
  <c r="AA32" i="1"/>
  <c r="AH33" i="1"/>
  <c r="BF33" i="1"/>
  <c r="T47" i="1"/>
  <c r="AW47" i="1"/>
  <c r="P31" i="1"/>
  <c r="J33" i="1"/>
  <c r="AI33" i="1"/>
  <c r="BG33" i="1"/>
  <c r="AS45" i="1"/>
  <c r="V47" i="1"/>
  <c r="AY47" i="1"/>
  <c r="H30" i="1"/>
  <c r="Q31" i="1"/>
  <c r="K33" i="1"/>
  <c r="I30" i="1"/>
  <c r="T31" i="1"/>
  <c r="BD31" i="1"/>
  <c r="I45" i="1"/>
  <c r="BB45" i="1"/>
  <c r="AA47" i="1"/>
  <c r="BF47" i="1"/>
  <c r="J30" i="1"/>
  <c r="U31" i="1"/>
  <c r="BE31" i="1"/>
  <c r="AP33" i="1"/>
  <c r="M30" i="1"/>
  <c r="R33" i="1"/>
  <c r="AQ33" i="1"/>
  <c r="BE45" i="1"/>
  <c r="AH47" i="1"/>
  <c r="N30" i="1"/>
  <c r="S33" i="1"/>
  <c r="AT33" i="1"/>
  <c r="U45" i="1"/>
  <c r="T46" i="1"/>
  <c r="AI47" i="1"/>
  <c r="L10" i="1"/>
  <c r="X10" i="1"/>
  <c r="AJ10" i="1"/>
  <c r="AV10" i="1"/>
  <c r="AL11" i="1"/>
  <c r="W10" i="1"/>
  <c r="AX11" i="1"/>
  <c r="E19" i="1"/>
  <c r="K32" i="1"/>
  <c r="AD33" i="1"/>
  <c r="R46" i="1"/>
  <c r="K46" i="1"/>
  <c r="W46" i="1"/>
  <c r="P46" i="1"/>
  <c r="BG47" i="1"/>
  <c r="L46" i="1"/>
  <c r="L44" i="1"/>
  <c r="AB45" i="1"/>
  <c r="AB47" i="1"/>
  <c r="AN45" i="1"/>
  <c r="AN47" i="1"/>
  <c r="M10" i="1"/>
  <c r="Y10" i="1"/>
  <c r="AK10" i="1"/>
  <c r="AW10" i="1"/>
  <c r="O11" i="1"/>
  <c r="AA11" i="1"/>
  <c r="AM11" i="1"/>
  <c r="AY11" i="1"/>
  <c r="Z10" i="1"/>
  <c r="AL10" i="1"/>
  <c r="AX10" i="1"/>
  <c r="P11" i="1"/>
  <c r="AB11" i="1"/>
  <c r="AN11" i="1"/>
  <c r="AZ11" i="1"/>
  <c r="N46" i="1"/>
  <c r="Z46" i="1"/>
  <c r="AA46" i="1"/>
  <c r="O10" i="1"/>
  <c r="AM10" i="1"/>
  <c r="R11" i="1"/>
  <c r="AC11" i="1"/>
  <c r="AO11" i="1"/>
  <c r="BA11" i="1"/>
  <c r="L31" i="1"/>
  <c r="L33" i="1"/>
  <c r="X31" i="1"/>
  <c r="X33" i="1"/>
  <c r="AJ31" i="1"/>
  <c r="AJ33" i="1"/>
  <c r="AV31" i="1"/>
  <c r="AV33" i="1"/>
  <c r="BH31" i="1"/>
  <c r="BH33" i="1"/>
  <c r="Z31" i="1"/>
  <c r="AX31" i="1"/>
  <c r="AA44" i="1"/>
  <c r="S47" i="1"/>
  <c r="S45" i="1"/>
  <c r="AE47" i="1"/>
  <c r="AE45" i="1"/>
  <c r="AQ47" i="1"/>
  <c r="AQ45" i="1"/>
  <c r="BC47" i="1"/>
  <c r="BC45" i="1"/>
  <c r="K47" i="1"/>
  <c r="M31" i="1"/>
  <c r="M33" i="1"/>
  <c r="Y31" i="1"/>
  <c r="Y33" i="1"/>
  <c r="AK31" i="1"/>
  <c r="AK33" i="1"/>
  <c r="AW31" i="1"/>
  <c r="AW33" i="1"/>
  <c r="AA31" i="1"/>
  <c r="AY31" i="1"/>
  <c r="Q10" i="1"/>
  <c r="Q52" i="1" s="1"/>
  <c r="AO10" i="1"/>
  <c r="S11" i="1"/>
  <c r="AE11" i="1"/>
  <c r="AQ11" i="1"/>
  <c r="BC11" i="1"/>
  <c r="W32" i="1"/>
  <c r="R45" i="1"/>
  <c r="X46" i="1"/>
  <c r="X44" i="1"/>
  <c r="P45" i="1"/>
  <c r="P47" i="1"/>
  <c r="AZ45" i="1"/>
  <c r="AZ47" i="1"/>
  <c r="AD10" i="1"/>
  <c r="AP10" i="1"/>
  <c r="BB10" i="1"/>
  <c r="T11" i="1"/>
  <c r="AF11" i="1"/>
  <c r="AR11" i="1"/>
  <c r="BD11" i="1"/>
  <c r="Q30" i="1"/>
  <c r="Q32" i="1"/>
  <c r="X32" i="1"/>
  <c r="P10" i="1"/>
  <c r="AB10" i="1"/>
  <c r="AZ10" i="1"/>
  <c r="S10" i="1"/>
  <c r="AQ10" i="1"/>
  <c r="BC10" i="1"/>
  <c r="I11" i="1"/>
  <c r="R30" i="1"/>
  <c r="R32" i="1"/>
  <c r="T10" i="1"/>
  <c r="AF10" i="1"/>
  <c r="BD10" i="1"/>
  <c r="J11" i="1"/>
  <c r="V11" i="1"/>
  <c r="AH11" i="1"/>
  <c r="AT11" i="1"/>
  <c r="BF11" i="1"/>
  <c r="H46" i="1"/>
  <c r="W47" i="1"/>
  <c r="I10" i="1"/>
  <c r="U10" i="1"/>
  <c r="AG10" i="1"/>
  <c r="AS10" i="1"/>
  <c r="BE10" i="1"/>
  <c r="K11" i="1"/>
  <c r="W11" i="1"/>
  <c r="AI11" i="1"/>
  <c r="AU11" i="1"/>
  <c r="BG11" i="1"/>
  <c r="S30" i="1"/>
  <c r="N31" i="1"/>
  <c r="AL31" i="1"/>
  <c r="I44" i="1"/>
  <c r="I46" i="1"/>
  <c r="U44" i="1"/>
  <c r="U46" i="1"/>
  <c r="K44" i="1"/>
  <c r="AD45" i="1"/>
  <c r="M46" i="1"/>
  <c r="K10" i="1"/>
  <c r="M11" i="1"/>
  <c r="AJ11" i="1"/>
  <c r="AV11" i="1"/>
  <c r="T30" i="1"/>
  <c r="O31" i="1"/>
  <c r="AM31" i="1"/>
  <c r="O46" i="1"/>
  <c r="Q46" i="1"/>
  <c r="L47" i="1"/>
  <c r="X47" i="1"/>
  <c r="AJ47" i="1"/>
  <c r="AV47" i="1"/>
  <c r="BH47" i="1"/>
  <c r="I58" i="1"/>
  <c r="J58" i="1"/>
  <c r="S46" i="1"/>
  <c r="N47" i="1"/>
  <c r="Z47" i="1"/>
  <c r="AL47" i="1"/>
  <c r="AX47" i="1"/>
  <c r="K58" i="1"/>
  <c r="L58" i="1"/>
  <c r="M58" i="1"/>
  <c r="J46" i="1"/>
  <c r="V46" i="1"/>
  <c r="Q47" i="1"/>
  <c r="AC47" i="1"/>
  <c r="AO47" i="1"/>
  <c r="BA47" i="1"/>
  <c r="N58" i="1"/>
  <c r="O58" i="1"/>
  <c r="X11" i="1" l="1"/>
  <c r="AE10" i="1"/>
  <c r="AZ13" i="1"/>
  <c r="AN13" i="1"/>
  <c r="AB13" i="1"/>
  <c r="P13" i="1"/>
  <c r="AY13" i="1"/>
  <c r="AM13" i="1"/>
  <c r="AA13" i="1"/>
  <c r="O13" i="1"/>
  <c r="AX13" i="1"/>
  <c r="AL13" i="1"/>
  <c r="Z13" i="1"/>
  <c r="N13" i="1"/>
  <c r="AW13" i="1"/>
  <c r="AK13" i="1"/>
  <c r="Y13" i="1"/>
  <c r="M13" i="1"/>
  <c r="F9" i="1"/>
  <c r="G9" i="1" s="1"/>
  <c r="BB13" i="1"/>
  <c r="BH13" i="1"/>
  <c r="AV13" i="1"/>
  <c r="AJ13" i="1"/>
  <c r="X13" i="1"/>
  <c r="L13" i="1"/>
  <c r="BG13" i="1"/>
  <c r="AU13" i="1"/>
  <c r="AI13" i="1"/>
  <c r="W13" i="1"/>
  <c r="K13" i="1"/>
  <c r="BF13" i="1"/>
  <c r="AT13" i="1"/>
  <c r="AH13" i="1"/>
  <c r="V13" i="1"/>
  <c r="J13" i="1"/>
  <c r="BE13" i="1"/>
  <c r="AS13" i="1"/>
  <c r="AG13" i="1"/>
  <c r="U13" i="1"/>
  <c r="I13" i="1"/>
  <c r="BD13" i="1"/>
  <c r="AR13" i="1"/>
  <c r="AF13" i="1"/>
  <c r="T13" i="1"/>
  <c r="H13" i="1"/>
  <c r="BC13" i="1"/>
  <c r="AQ13" i="1"/>
  <c r="AE13" i="1"/>
  <c r="S13" i="1"/>
  <c r="BA13" i="1"/>
  <c r="AO13" i="1"/>
  <c r="AC13" i="1"/>
  <c r="Q13" i="1"/>
  <c r="AP13" i="1"/>
  <c r="AD13" i="1"/>
  <c r="R13" i="1"/>
  <c r="AY10" i="1"/>
  <c r="AR10" i="1"/>
  <c r="BF10" i="1"/>
  <c r="BE12" i="1"/>
  <c r="AS12" i="1"/>
  <c r="AG12" i="1"/>
  <c r="U12" i="1"/>
  <c r="I12" i="1"/>
  <c r="BD12" i="1"/>
  <c r="AR12" i="1"/>
  <c r="AF12" i="1"/>
  <c r="T12" i="1"/>
  <c r="H12" i="1"/>
  <c r="BC12" i="1"/>
  <c r="AQ12" i="1"/>
  <c r="AE12" i="1"/>
  <c r="S12" i="1"/>
  <c r="BB12" i="1"/>
  <c r="AP12" i="1"/>
  <c r="AD12" i="1"/>
  <c r="R12" i="1"/>
  <c r="BA12" i="1"/>
  <c r="AO12" i="1"/>
  <c r="AC12" i="1"/>
  <c r="Q12" i="1"/>
  <c r="F8" i="1"/>
  <c r="G8" i="1" s="1"/>
  <c r="AZ12" i="1"/>
  <c r="AN12" i="1"/>
  <c r="AB12" i="1"/>
  <c r="P12" i="1"/>
  <c r="AY12" i="1"/>
  <c r="AM12" i="1"/>
  <c r="AA12" i="1"/>
  <c r="O12" i="1"/>
  <c r="AX12" i="1"/>
  <c r="AL12" i="1"/>
  <c r="Z12" i="1"/>
  <c r="N12" i="1"/>
  <c r="AW12" i="1"/>
  <c r="AK12" i="1"/>
  <c r="Y12" i="1"/>
  <c r="M12" i="1"/>
  <c r="BH12" i="1"/>
  <c r="AV12" i="1"/>
  <c r="AJ12" i="1"/>
  <c r="X12" i="1"/>
  <c r="L12" i="1"/>
  <c r="BF12" i="1"/>
  <c r="AT12" i="1"/>
  <c r="AH12" i="1"/>
  <c r="V12" i="1"/>
  <c r="J12" i="1"/>
  <c r="W12" i="1"/>
  <c r="K12" i="1"/>
  <c r="BG12" i="1"/>
  <c r="AU12" i="1"/>
  <c r="AI12" i="1"/>
  <c r="AA10" i="1"/>
  <c r="N10" i="1"/>
  <c r="AK11" i="1"/>
  <c r="AT10" i="1"/>
  <c r="AB38" i="1"/>
  <c r="AB24" i="1"/>
  <c r="AU10" i="1"/>
  <c r="AH10" i="1"/>
  <c r="R10" i="1"/>
  <c r="BB11" i="1"/>
  <c r="AD11" i="1"/>
  <c r="V10" i="1"/>
  <c r="BE11" i="1"/>
  <c r="AN10" i="1"/>
  <c r="Q11" i="1"/>
  <c r="J10" i="1"/>
  <c r="AS11" i="1"/>
  <c r="BA10" i="1"/>
  <c r="BH11" i="1"/>
  <c r="AI10" i="1"/>
  <c r="AG11" i="1"/>
  <c r="AW11" i="1"/>
  <c r="Y11" i="1"/>
  <c r="L11" i="1"/>
  <c r="U11" i="1"/>
  <c r="AC10" i="1"/>
  <c r="AP11" i="1"/>
  <c r="Q58" i="1"/>
  <c r="R52" i="1"/>
  <c r="Q54" i="1"/>
  <c r="Q56" i="1"/>
  <c r="BG10" i="1"/>
  <c r="AB28" i="1" l="1"/>
  <c r="AC24" i="1"/>
  <c r="AB26" i="1"/>
  <c r="J14" i="1"/>
  <c r="J16" i="1"/>
  <c r="AK16" i="1"/>
  <c r="AK14" i="1"/>
  <c r="AN16" i="1"/>
  <c r="AN14" i="1"/>
  <c r="AE14" i="1"/>
  <c r="AE16" i="1"/>
  <c r="BE14" i="1"/>
  <c r="BE16" i="1"/>
  <c r="AE17" i="1"/>
  <c r="AE15" i="1"/>
  <c r="BE17" i="1"/>
  <c r="BE15" i="1"/>
  <c r="X17" i="1"/>
  <c r="X15" i="1"/>
  <c r="AL17" i="1"/>
  <c r="AL15" i="1"/>
  <c r="AB40" i="1"/>
  <c r="AC38" i="1"/>
  <c r="AB42" i="1"/>
  <c r="AH14" i="1"/>
  <c r="AH16" i="1"/>
  <c r="N16" i="1"/>
  <c r="N14" i="1"/>
  <c r="BC14" i="1"/>
  <c r="BC16" i="1"/>
  <c r="BC17" i="1"/>
  <c r="BC15" i="1"/>
  <c r="V17" i="1"/>
  <c r="V15" i="1"/>
  <c r="AV17" i="1"/>
  <c r="AV15" i="1"/>
  <c r="O15" i="1"/>
  <c r="O17" i="1"/>
  <c r="AX15" i="1"/>
  <c r="AX17" i="1"/>
  <c r="AT14" i="1"/>
  <c r="AT16" i="1"/>
  <c r="Z16" i="1"/>
  <c r="Z14" i="1"/>
  <c r="Q16" i="1"/>
  <c r="Q14" i="1"/>
  <c r="H14" i="1"/>
  <c r="H16" i="1"/>
  <c r="H15" i="1"/>
  <c r="H17" i="1"/>
  <c r="AH17" i="1"/>
  <c r="AH15" i="1"/>
  <c r="BH17" i="1"/>
  <c r="BH15" i="1"/>
  <c r="AA15" i="1"/>
  <c r="AA17" i="1"/>
  <c r="AJ17" i="1"/>
  <c r="AJ15" i="1"/>
  <c r="BF14" i="1"/>
  <c r="BF16" i="1"/>
  <c r="AL16" i="1"/>
  <c r="AL14" i="1"/>
  <c r="AC16" i="1"/>
  <c r="AC14" i="1"/>
  <c r="T14" i="1"/>
  <c r="T16" i="1"/>
  <c r="R15" i="1"/>
  <c r="R17" i="1"/>
  <c r="T17" i="1"/>
  <c r="T15" i="1"/>
  <c r="AT17" i="1"/>
  <c r="AT15" i="1"/>
  <c r="BB15" i="1"/>
  <c r="BB17" i="1"/>
  <c r="AM17" i="1"/>
  <c r="AM15" i="1"/>
  <c r="AQ17" i="1"/>
  <c r="AQ15" i="1"/>
  <c r="L16" i="1"/>
  <c r="L14" i="1"/>
  <c r="AX16" i="1"/>
  <c r="AX14" i="1"/>
  <c r="AO16" i="1"/>
  <c r="AO14" i="1"/>
  <c r="AF14" i="1"/>
  <c r="AF16" i="1"/>
  <c r="AD15" i="1"/>
  <c r="AD17" i="1"/>
  <c r="AF15" i="1"/>
  <c r="AF17" i="1"/>
  <c r="BF17" i="1"/>
  <c r="BF15" i="1"/>
  <c r="AY15" i="1"/>
  <c r="AY17" i="1"/>
  <c r="J17" i="1"/>
  <c r="J15" i="1"/>
  <c r="X16" i="1"/>
  <c r="X14" i="1"/>
  <c r="O14" i="1"/>
  <c r="O16" i="1"/>
  <c r="BA16" i="1"/>
  <c r="BA14" i="1"/>
  <c r="AR16" i="1"/>
  <c r="AR14" i="1"/>
  <c r="AP17" i="1"/>
  <c r="AP15" i="1"/>
  <c r="AR15" i="1"/>
  <c r="AR17" i="1"/>
  <c r="K17" i="1"/>
  <c r="K15" i="1"/>
  <c r="M15" i="1"/>
  <c r="M17" i="1"/>
  <c r="P15" i="1"/>
  <c r="P17" i="1"/>
  <c r="R56" i="1"/>
  <c r="AI14" i="1"/>
  <c r="AI16" i="1"/>
  <c r="AJ16" i="1"/>
  <c r="AJ14" i="1"/>
  <c r="AA16" i="1"/>
  <c r="AA14" i="1"/>
  <c r="R14" i="1"/>
  <c r="R16" i="1"/>
  <c r="BD14" i="1"/>
  <c r="BD16" i="1"/>
  <c r="Q15" i="1"/>
  <c r="Q17" i="1"/>
  <c r="BD17" i="1"/>
  <c r="BD15" i="1"/>
  <c r="W17" i="1"/>
  <c r="W15" i="1"/>
  <c r="Y17" i="1"/>
  <c r="Y15" i="1"/>
  <c r="AB15" i="1"/>
  <c r="AB17" i="1"/>
  <c r="AW14" i="1"/>
  <c r="AW16" i="1"/>
  <c r="R54" i="1"/>
  <c r="R58" i="1"/>
  <c r="S52" i="1"/>
  <c r="AU14" i="1"/>
  <c r="AU16" i="1"/>
  <c r="AV16" i="1"/>
  <c r="AV14" i="1"/>
  <c r="AM16" i="1"/>
  <c r="AM14" i="1"/>
  <c r="AD16" i="1"/>
  <c r="AD14" i="1"/>
  <c r="I14" i="1"/>
  <c r="I16" i="1"/>
  <c r="AC17" i="1"/>
  <c r="AC15" i="1"/>
  <c r="I17" i="1"/>
  <c r="I15" i="1"/>
  <c r="AI17" i="1"/>
  <c r="AI15" i="1"/>
  <c r="AK17" i="1"/>
  <c r="AK15" i="1"/>
  <c r="AN17" i="1"/>
  <c r="AN15" i="1"/>
  <c r="AZ16" i="1"/>
  <c r="AZ14" i="1"/>
  <c r="BG14" i="1"/>
  <c r="BG16" i="1"/>
  <c r="BH16" i="1"/>
  <c r="BH14" i="1"/>
  <c r="AY16" i="1"/>
  <c r="AY14" i="1"/>
  <c r="AP16" i="1"/>
  <c r="AP14" i="1"/>
  <c r="U14" i="1"/>
  <c r="U16" i="1"/>
  <c r="AO17" i="1"/>
  <c r="AO15" i="1"/>
  <c r="U17" i="1"/>
  <c r="U15" i="1"/>
  <c r="AU15" i="1"/>
  <c r="AU17" i="1"/>
  <c r="AW15" i="1"/>
  <c r="AW17" i="1"/>
  <c r="AZ15" i="1"/>
  <c r="AZ17" i="1"/>
  <c r="V14" i="1"/>
  <c r="V16" i="1"/>
  <c r="K14" i="1"/>
  <c r="K16" i="1"/>
  <c r="M16" i="1"/>
  <c r="M14" i="1"/>
  <c r="P14" i="1"/>
  <c r="P16" i="1"/>
  <c r="BB14" i="1"/>
  <c r="BB16" i="1"/>
  <c r="AG14" i="1"/>
  <c r="AG16" i="1"/>
  <c r="BA17" i="1"/>
  <c r="BA15" i="1"/>
  <c r="AG17" i="1"/>
  <c r="AG15" i="1"/>
  <c r="BG17" i="1"/>
  <c r="BG15" i="1"/>
  <c r="N15" i="1"/>
  <c r="N17" i="1"/>
  <c r="AQ16" i="1"/>
  <c r="AQ14" i="1"/>
  <c r="W14" i="1"/>
  <c r="W16" i="1"/>
  <c r="Y16" i="1"/>
  <c r="Y14" i="1"/>
  <c r="AB16" i="1"/>
  <c r="AB14" i="1"/>
  <c r="S14" i="1"/>
  <c r="S16" i="1"/>
  <c r="AS16" i="1"/>
  <c r="AS14" i="1"/>
  <c r="S17" i="1"/>
  <c r="S15" i="1"/>
  <c r="AS17" i="1"/>
  <c r="AS15" i="1"/>
  <c r="L17" i="1"/>
  <c r="L15" i="1"/>
  <c r="Z15" i="1"/>
  <c r="Z17" i="1"/>
  <c r="AD24" i="1" l="1"/>
  <c r="AD28" i="1" s="1"/>
  <c r="AC26" i="1"/>
  <c r="AB44" i="1"/>
  <c r="AB46" i="1"/>
  <c r="AC28" i="1"/>
  <c r="AC40" i="1"/>
  <c r="AD38" i="1"/>
  <c r="S56" i="1"/>
  <c r="AC42" i="1"/>
  <c r="AB30" i="1"/>
  <c r="AB32" i="1"/>
  <c r="S54" i="1"/>
  <c r="T52" i="1"/>
  <c r="S58" i="1"/>
  <c r="AD30" i="1" l="1"/>
  <c r="AD32" i="1"/>
  <c r="T56" i="1"/>
  <c r="AC44" i="1"/>
  <c r="AC46" i="1"/>
  <c r="AD40" i="1"/>
  <c r="AE38" i="1"/>
  <c r="AD42" i="1"/>
  <c r="AE24" i="1"/>
  <c r="AD26" i="1"/>
  <c r="T54" i="1"/>
  <c r="T58" i="1"/>
  <c r="U52" i="1"/>
  <c r="G22" i="1" a="1"/>
  <c r="G22" i="1" s="1"/>
  <c r="AC30" i="1"/>
  <c r="AC32" i="1"/>
  <c r="U56" i="1" l="1"/>
  <c r="AE42" i="1"/>
  <c r="AD46" i="1"/>
  <c r="AD44" i="1"/>
  <c r="U54" i="1"/>
  <c r="U58" i="1"/>
  <c r="V52" i="1"/>
  <c r="AF38" i="1"/>
  <c r="AE40" i="1"/>
  <c r="AF24" i="1"/>
  <c r="AE26" i="1"/>
  <c r="AE28" i="1"/>
  <c r="V54" i="1" l="1"/>
  <c r="V58" i="1"/>
  <c r="W52" i="1"/>
  <c r="AE44" i="1"/>
  <c r="AE46" i="1"/>
  <c r="AG38" i="1"/>
  <c r="AF40" i="1"/>
  <c r="AF28" i="1"/>
  <c r="AE32" i="1"/>
  <c r="AE30" i="1"/>
  <c r="V56" i="1"/>
  <c r="AF26" i="1"/>
  <c r="AG24" i="1"/>
  <c r="AG28" i="1" s="1"/>
  <c r="AF42" i="1"/>
  <c r="W54" i="1" l="1"/>
  <c r="W58" i="1"/>
  <c r="X52" i="1"/>
  <c r="W56" i="1"/>
  <c r="AG32" i="1"/>
  <c r="AG30" i="1"/>
  <c r="AG26" i="1"/>
  <c r="AH24" i="1"/>
  <c r="AF32" i="1"/>
  <c r="AF30" i="1"/>
  <c r="AF44" i="1"/>
  <c r="AF46" i="1"/>
  <c r="AH38" i="1"/>
  <c r="AG40" i="1"/>
  <c r="AG42" i="1"/>
  <c r="AI24" i="1" l="1"/>
  <c r="AH26" i="1"/>
  <c r="AI38" i="1"/>
  <c r="AH40" i="1"/>
  <c r="AH42" i="1"/>
  <c r="X54" i="1"/>
  <c r="X58" i="1"/>
  <c r="Y52" i="1"/>
  <c r="X56" i="1"/>
  <c r="AG44" i="1"/>
  <c r="AG46" i="1"/>
  <c r="AH28" i="1"/>
  <c r="AH32" i="1" l="1"/>
  <c r="AH30" i="1"/>
  <c r="AJ38" i="1"/>
  <c r="AI40" i="1"/>
  <c r="AH44" i="1"/>
  <c r="AH46" i="1"/>
  <c r="AI42" i="1"/>
  <c r="AI26" i="1"/>
  <c r="AJ24" i="1"/>
  <c r="AI28" i="1"/>
  <c r="Y58" i="1"/>
  <c r="Z52" i="1"/>
  <c r="Y54" i="1"/>
  <c r="Y56" i="1"/>
  <c r="AI30" i="1" l="1"/>
  <c r="AI32" i="1"/>
  <c r="AJ26" i="1"/>
  <c r="AK24" i="1"/>
  <c r="AJ28" i="1"/>
  <c r="AI46" i="1"/>
  <c r="AI44" i="1"/>
  <c r="AJ40" i="1"/>
  <c r="AK38" i="1"/>
  <c r="AJ42" i="1"/>
  <c r="Z58" i="1"/>
  <c r="AA52" i="1"/>
  <c r="Z54" i="1"/>
  <c r="Z56" i="1"/>
  <c r="AJ30" i="1" l="1"/>
  <c r="AJ32" i="1"/>
  <c r="AL24" i="1"/>
  <c r="AK26" i="1"/>
  <c r="AK28" i="1"/>
  <c r="AJ46" i="1"/>
  <c r="AJ44" i="1"/>
  <c r="AL38" i="1"/>
  <c r="AK40" i="1"/>
  <c r="AK42" i="1"/>
  <c r="AA58" i="1"/>
  <c r="AB52" i="1"/>
  <c r="AA54" i="1"/>
  <c r="AA56" i="1"/>
  <c r="AB58" i="1" l="1"/>
  <c r="AC52" i="1"/>
  <c r="AB54" i="1"/>
  <c r="AB56" i="1"/>
  <c r="AK44" i="1"/>
  <c r="AK46" i="1"/>
  <c r="AM38" i="1"/>
  <c r="AL40" i="1"/>
  <c r="AL42" i="1"/>
  <c r="AK32" i="1"/>
  <c r="AK30" i="1"/>
  <c r="AL26" i="1"/>
  <c r="AM24" i="1"/>
  <c r="AL28" i="1"/>
  <c r="AM40" i="1" l="1"/>
  <c r="AN38" i="1"/>
  <c r="AM42" i="1"/>
  <c r="AL46" i="1"/>
  <c r="AL44" i="1"/>
  <c r="AL32" i="1"/>
  <c r="AL30" i="1"/>
  <c r="AC58" i="1"/>
  <c r="AD52" i="1"/>
  <c r="AC54" i="1"/>
  <c r="AC56" i="1"/>
  <c r="AN24" i="1"/>
  <c r="AM26" i="1"/>
  <c r="AM28" i="1"/>
  <c r="AO24" i="1" l="1"/>
  <c r="AN26" i="1"/>
  <c r="AN28" i="1"/>
  <c r="AM44" i="1"/>
  <c r="AM46" i="1"/>
  <c r="AM30" i="1"/>
  <c r="AM32" i="1"/>
  <c r="AN40" i="1"/>
  <c r="AO38" i="1"/>
  <c r="AN42" i="1"/>
  <c r="AD54" i="1"/>
  <c r="AD58" i="1"/>
  <c r="AE52" i="1"/>
  <c r="AD56" i="1"/>
  <c r="AN44" i="1" l="1"/>
  <c r="AN46" i="1"/>
  <c r="AO40" i="1"/>
  <c r="AP38" i="1"/>
  <c r="AO42" i="1"/>
  <c r="AN30" i="1"/>
  <c r="AN32" i="1"/>
  <c r="AE54" i="1"/>
  <c r="AF52" i="1"/>
  <c r="AE58" i="1"/>
  <c r="AE56" i="1"/>
  <c r="AP24" i="1"/>
  <c r="AO26" i="1"/>
  <c r="AO28" i="1"/>
  <c r="AP26" i="1" l="1"/>
  <c r="AQ24" i="1"/>
  <c r="AP28" i="1"/>
  <c r="AF54" i="1"/>
  <c r="AF58" i="1"/>
  <c r="AG52" i="1"/>
  <c r="AF56" i="1"/>
  <c r="AO44" i="1"/>
  <c r="AO46" i="1"/>
  <c r="AP40" i="1"/>
  <c r="AQ38" i="1"/>
  <c r="AP42" i="1"/>
  <c r="AO30" i="1"/>
  <c r="AO32" i="1"/>
  <c r="AP46" i="1" l="1"/>
  <c r="AP44" i="1"/>
  <c r="AR38" i="1"/>
  <c r="AQ40" i="1"/>
  <c r="AQ42" i="1"/>
  <c r="AG54" i="1"/>
  <c r="AG58" i="1"/>
  <c r="AH52" i="1"/>
  <c r="AG56" i="1"/>
  <c r="AP30" i="1"/>
  <c r="AP32" i="1"/>
  <c r="AR24" i="1"/>
  <c r="AQ26" i="1"/>
  <c r="AQ28" i="1"/>
  <c r="AR26" i="1" l="1"/>
  <c r="AS24" i="1"/>
  <c r="AR28" i="1"/>
  <c r="AH54" i="1"/>
  <c r="AH58" i="1"/>
  <c r="AI52" i="1"/>
  <c r="AH56" i="1"/>
  <c r="AQ44" i="1"/>
  <c r="AQ46" i="1"/>
  <c r="AS38" i="1"/>
  <c r="AR40" i="1"/>
  <c r="AR42" i="1"/>
  <c r="AQ32" i="1"/>
  <c r="AQ30" i="1"/>
  <c r="AR44" i="1" l="1"/>
  <c r="AR46" i="1"/>
  <c r="AT38" i="1"/>
  <c r="AS40" i="1"/>
  <c r="AS42" i="1"/>
  <c r="AI54" i="1"/>
  <c r="AI58" i="1"/>
  <c r="AJ52" i="1"/>
  <c r="AI56" i="1"/>
  <c r="AR32" i="1"/>
  <c r="AR30" i="1"/>
  <c r="AS26" i="1"/>
  <c r="AT24" i="1"/>
  <c r="AS28" i="1"/>
  <c r="AJ54" i="1" l="1"/>
  <c r="AJ58" i="1"/>
  <c r="AK52" i="1"/>
  <c r="AJ56" i="1"/>
  <c r="AS44" i="1"/>
  <c r="AS46" i="1"/>
  <c r="AU38" i="1"/>
  <c r="AT40" i="1"/>
  <c r="AT42" i="1"/>
  <c r="AS32" i="1"/>
  <c r="AS30" i="1"/>
  <c r="AT26" i="1"/>
  <c r="AU24" i="1"/>
  <c r="AT28" i="1"/>
  <c r="AT44" i="1" l="1"/>
  <c r="AT46" i="1"/>
  <c r="AV38" i="1"/>
  <c r="AU40" i="1"/>
  <c r="AU42" i="1"/>
  <c r="AK58" i="1"/>
  <c r="AK54" i="1"/>
  <c r="AL52" i="1"/>
  <c r="AK56" i="1"/>
  <c r="AT30" i="1"/>
  <c r="AT32" i="1"/>
  <c r="AU26" i="1"/>
  <c r="AV24" i="1"/>
  <c r="AU28" i="1"/>
  <c r="AL58" i="1" l="1"/>
  <c r="AM52" i="1"/>
  <c r="AL54" i="1"/>
  <c r="AL56" i="1"/>
  <c r="AU46" i="1"/>
  <c r="AU44" i="1"/>
  <c r="AV40" i="1"/>
  <c r="AW38" i="1"/>
  <c r="AV42" i="1"/>
  <c r="AU30" i="1"/>
  <c r="AU32" i="1"/>
  <c r="AV26" i="1"/>
  <c r="AW24" i="1"/>
  <c r="AV28" i="1"/>
  <c r="AV46" i="1" l="1"/>
  <c r="AV44" i="1"/>
  <c r="AW40" i="1"/>
  <c r="AX38" i="1"/>
  <c r="AW42" i="1"/>
  <c r="AV30" i="1"/>
  <c r="AV32" i="1"/>
  <c r="AM58" i="1"/>
  <c r="AN52" i="1"/>
  <c r="AM54" i="1"/>
  <c r="AM56" i="1"/>
  <c r="AW26" i="1"/>
  <c r="AX24" i="1"/>
  <c r="AW28" i="1"/>
  <c r="AN58" i="1" l="1"/>
  <c r="AO52" i="1"/>
  <c r="AN54" i="1"/>
  <c r="AN56" i="1"/>
  <c r="AW44" i="1"/>
  <c r="AW46" i="1"/>
  <c r="AY38" i="1"/>
  <c r="AX40" i="1"/>
  <c r="AX42" i="1"/>
  <c r="AW32" i="1"/>
  <c r="AW30" i="1"/>
  <c r="AX26" i="1"/>
  <c r="AY24" i="1"/>
  <c r="AX28" i="1"/>
  <c r="AX46" i="1" l="1"/>
  <c r="AX44" i="1"/>
  <c r="AY40" i="1"/>
  <c r="AZ38" i="1"/>
  <c r="AY42" i="1"/>
  <c r="AX32" i="1"/>
  <c r="AX30" i="1"/>
  <c r="AO58" i="1"/>
  <c r="AP52" i="1"/>
  <c r="AO54" i="1"/>
  <c r="AO56" i="1"/>
  <c r="AY26" i="1"/>
  <c r="AZ24" i="1"/>
  <c r="AY28" i="1"/>
  <c r="AP54" i="1" l="1"/>
  <c r="AP58" i="1"/>
  <c r="AQ52" i="1"/>
  <c r="AP56" i="1"/>
  <c r="AY44" i="1"/>
  <c r="AY46" i="1"/>
  <c r="AZ40" i="1"/>
  <c r="BA38" i="1"/>
  <c r="AZ42" i="1"/>
  <c r="AY30" i="1"/>
  <c r="AY32" i="1"/>
  <c r="BA24" i="1"/>
  <c r="AZ26" i="1"/>
  <c r="AZ28" i="1"/>
  <c r="BB24" i="1" l="1"/>
  <c r="BA26" i="1"/>
  <c r="BA28" i="1"/>
  <c r="AZ44" i="1"/>
  <c r="AZ46" i="1"/>
  <c r="BA40" i="1"/>
  <c r="BB38" i="1"/>
  <c r="BA42" i="1"/>
  <c r="AQ54" i="1"/>
  <c r="AR52" i="1"/>
  <c r="AQ58" i="1"/>
  <c r="AQ56" i="1"/>
  <c r="AZ30" i="1"/>
  <c r="AZ32" i="1"/>
  <c r="AR54" i="1" l="1"/>
  <c r="AS52" i="1"/>
  <c r="AR58" i="1"/>
  <c r="AR56" i="1"/>
  <c r="BA44" i="1"/>
  <c r="BA46" i="1"/>
  <c r="BB40" i="1"/>
  <c r="BC38" i="1"/>
  <c r="BB42" i="1"/>
  <c r="BA30" i="1"/>
  <c r="BA32" i="1"/>
  <c r="BC24" i="1"/>
  <c r="BB26" i="1"/>
  <c r="BB28" i="1"/>
  <c r="BD24" i="1" l="1"/>
  <c r="BC26" i="1"/>
  <c r="BC28" i="1"/>
  <c r="BB46" i="1"/>
  <c r="BB44" i="1"/>
  <c r="BC40" i="1"/>
  <c r="BD38" i="1"/>
  <c r="BC42" i="1"/>
  <c r="BB30" i="1"/>
  <c r="BB32" i="1"/>
  <c r="AS54" i="1"/>
  <c r="AS58" i="1"/>
  <c r="AT52" i="1"/>
  <c r="AS56" i="1"/>
  <c r="BC44" i="1" l="1"/>
  <c r="BC46" i="1"/>
  <c r="BE38" i="1"/>
  <c r="BD40" i="1"/>
  <c r="BD42" i="1"/>
  <c r="BC32" i="1"/>
  <c r="BC30" i="1"/>
  <c r="AT54" i="1"/>
  <c r="AT58" i="1"/>
  <c r="AU52" i="1"/>
  <c r="AT56" i="1"/>
  <c r="BD26" i="1"/>
  <c r="BE24" i="1"/>
  <c r="BD28" i="1"/>
  <c r="AU54" i="1" l="1"/>
  <c r="AU58" i="1"/>
  <c r="AV52" i="1"/>
  <c r="AU56" i="1"/>
  <c r="BD44" i="1"/>
  <c r="BD46" i="1"/>
  <c r="BF38" i="1"/>
  <c r="BE40" i="1"/>
  <c r="BE42" i="1"/>
  <c r="BD32" i="1"/>
  <c r="BD30" i="1"/>
  <c r="BF24" i="1"/>
  <c r="BE26" i="1"/>
  <c r="BE28" i="1"/>
  <c r="BG24" i="1" l="1"/>
  <c r="BF26" i="1"/>
  <c r="BF28" i="1"/>
  <c r="BG38" i="1"/>
  <c r="BF40" i="1"/>
  <c r="BF42" i="1"/>
  <c r="BE44" i="1"/>
  <c r="BE46" i="1"/>
  <c r="AV54" i="1"/>
  <c r="AV58" i="1"/>
  <c r="AW52" i="1"/>
  <c r="AV56" i="1"/>
  <c r="BE32" i="1"/>
  <c r="BE30" i="1"/>
  <c r="AW58" i="1" l="1"/>
  <c r="AW54" i="1"/>
  <c r="AX52" i="1"/>
  <c r="AW56" i="1"/>
  <c r="BF44" i="1"/>
  <c r="BF46" i="1"/>
  <c r="BH38" i="1"/>
  <c r="BG40" i="1"/>
  <c r="BG42" i="1"/>
  <c r="BF32" i="1"/>
  <c r="BF30" i="1"/>
  <c r="BG26" i="1"/>
  <c r="BH24" i="1"/>
  <c r="BG28" i="1"/>
  <c r="BG46" i="1" l="1"/>
  <c r="BG44" i="1"/>
  <c r="BH40" i="1"/>
  <c r="F38" i="1"/>
  <c r="G38" i="1" s="1"/>
  <c r="BH42" i="1"/>
  <c r="AX58" i="1"/>
  <c r="AY52" i="1"/>
  <c r="AX54" i="1"/>
  <c r="AX56" i="1"/>
  <c r="BG30" i="1"/>
  <c r="BG32" i="1"/>
  <c r="BH26" i="1"/>
  <c r="F24" i="1"/>
  <c r="G24" i="1" s="1"/>
  <c r="BH28" i="1"/>
  <c r="AY58" i="1" l="1"/>
  <c r="AZ52" i="1"/>
  <c r="AY54" i="1"/>
  <c r="AY56" i="1"/>
  <c r="BH46" i="1"/>
  <c r="BH44" i="1"/>
  <c r="G36" i="1" a="1"/>
  <c r="G36" i="1" s="1"/>
  <c r="BH30" i="1"/>
  <c r="BH32" i="1"/>
  <c r="AZ58" i="1" l="1"/>
  <c r="BA52" i="1"/>
  <c r="AZ54" i="1"/>
  <c r="AZ56" i="1"/>
  <c r="BA58" i="1" l="1"/>
  <c r="BB52" i="1"/>
  <c r="BA54" i="1"/>
  <c r="BA56" i="1"/>
  <c r="BB54" i="1" l="1"/>
  <c r="BB58" i="1"/>
  <c r="BC52" i="1"/>
  <c r="BB56" i="1"/>
  <c r="BC54" i="1" l="1"/>
  <c r="BD52" i="1"/>
  <c r="BC58" i="1"/>
  <c r="BC56" i="1"/>
  <c r="BD54" i="1" l="1"/>
  <c r="BE52" i="1"/>
  <c r="BD58" i="1"/>
  <c r="BD56" i="1"/>
  <c r="BE54" i="1" l="1"/>
  <c r="BE58" i="1"/>
  <c r="BF52" i="1"/>
  <c r="BE56" i="1"/>
  <c r="BF54" i="1" l="1"/>
  <c r="BF58" i="1"/>
  <c r="BG52" i="1"/>
  <c r="BF56" i="1"/>
  <c r="BG54" i="1" l="1"/>
  <c r="BG58" i="1"/>
  <c r="BH52" i="1"/>
  <c r="BG56" i="1"/>
  <c r="BH54" i="1" l="1"/>
  <c r="BH58" i="1"/>
  <c r="BH56" i="1"/>
  <c r="G50" i="1" s="1" a="1"/>
  <c r="G50" i="1" s="1"/>
  <c r="F52" i="1"/>
  <c r="G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<sst xmlns="http://schemas.openxmlformats.org/spreadsheetml/2006/main" count="283" uniqueCount="80">
  <si>
    <t>연간판매</t>
    <phoneticPr fontId="3" type="noConversion"/>
  </si>
  <si>
    <t>품번</t>
    <phoneticPr fontId="3" type="noConversion"/>
  </si>
  <si>
    <t>컬러</t>
    <phoneticPr fontId="3" type="noConversion"/>
  </si>
  <si>
    <t>입고수량</t>
    <phoneticPr fontId="3" type="noConversion"/>
  </si>
  <si>
    <t>PCS</t>
    <phoneticPr fontId="3" type="noConversion"/>
  </si>
  <si>
    <t>판매율</t>
    <phoneticPr fontId="3" type="noConversion"/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</si>
  <si>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</si>
  <si>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</si>
  <si>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</si>
  <si>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</si>
  <si>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</si>
  <si>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</si>
  <si>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</si>
  <si>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</si>
  <si>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</si>
  <si>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</si>
  <si>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</si>
  <si>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</si>
  <si>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</si>
  <si>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</si>
  <si>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</si>
  <si>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</si>
  <si>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</si>
  <si>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</t>
  </si>
  <si>
    <t>19주차</t>
  </si>
  <si>
    <t>20주차</t>
  </si>
  <si>
    <t>21주차</t>
  </si>
  <si>
    <t>22주차</t>
  </si>
  <si>
    <t>23주차</t>
  </si>
  <si>
    <t>24주차</t>
  </si>
  <si>
    <t>25주차</t>
  </si>
  <si>
    <t>26주차</t>
  </si>
  <si>
    <t>27주차</t>
  </si>
  <si>
    <t>28주차</t>
  </si>
  <si>
    <t>29주차</t>
  </si>
  <si>
    <t>30주차</t>
  </si>
  <si>
    <t>31주차</t>
  </si>
  <si>
    <t>32주차</t>
  </si>
  <si>
    <t>33주차</t>
  </si>
  <si>
    <t>34주차</t>
  </si>
  <si>
    <t>35주차</t>
  </si>
  <si>
    <t>36주차</t>
  </si>
  <si>
    <t>37주차</t>
  </si>
  <si>
    <t>38주차</t>
  </si>
  <si>
    <t>39주차</t>
  </si>
  <si>
    <t>40주차</t>
  </si>
  <si>
    <t>41주차</t>
  </si>
  <si>
    <t>42주차</t>
  </si>
  <si>
    <t>43주차</t>
  </si>
  <si>
    <t>44주차</t>
  </si>
  <si>
    <t>45주차</t>
  </si>
  <si>
    <t>46주차</t>
  </si>
  <si>
    <t>47주차</t>
  </si>
  <si>
    <t>48주차</t>
  </si>
  <si>
    <t>49주차</t>
  </si>
  <si>
    <t>50주차</t>
  </si>
  <si>
    <t>51주차</t>
  </si>
  <si>
    <t>52주차</t>
  </si>
  <si>
    <t>53주차</t>
  </si>
  <si>
    <t>WA2502STE1</t>
    <phoneticPr fontId="3" type="noConversion"/>
  </si>
  <si>
    <t>TC</t>
    <phoneticPr fontId="3" type="noConversion"/>
  </si>
  <si>
    <t>BK</t>
    <phoneticPr fontId="3" type="noConversion"/>
  </si>
  <si>
    <t>주차별 증감율</t>
    <phoneticPr fontId="3" type="noConversion"/>
  </si>
  <si>
    <t>주차별 누적판매 수량</t>
    <phoneticPr fontId="3" type="noConversion"/>
  </si>
  <si>
    <t>주차별 재고수량</t>
    <phoneticPr fontId="3" type="noConversion"/>
  </si>
  <si>
    <t>현기준 재고</t>
    <phoneticPr fontId="3" type="noConversion"/>
  </si>
  <si>
    <t>리오더 입고예정</t>
    <phoneticPr fontId="3" type="noConversion"/>
  </si>
  <si>
    <t>26년 예상 판매 (재고 감안 O)</t>
    <phoneticPr fontId="3" type="noConversion"/>
  </si>
  <si>
    <t>WA2602STE1</t>
    <phoneticPr fontId="3" type="noConversion"/>
  </si>
  <si>
    <t>WH</t>
    <phoneticPr fontId="3" type="noConversion"/>
  </si>
  <si>
    <t>26년 예상 판매 (재고 감안 X)</t>
    <phoneticPr fontId="3" type="noConversion"/>
  </si>
  <si>
    <t xml:space="preserve">로스분 </t>
    <phoneticPr fontId="3" type="noConversion"/>
  </si>
  <si>
    <t>TA금액</t>
    <phoneticPr fontId="3" type="noConversion"/>
  </si>
  <si>
    <t>2PACK 와키윌리 반팔 티셔츠</t>
  </si>
  <si>
    <t>2PACK 반팔 티셔츠</t>
  </si>
  <si>
    <t>9월 마감</t>
    <phoneticPr fontId="3" type="noConversion"/>
  </si>
  <si>
    <t>6월 말 ~ 9월 말까지 5,000PCS 예상되나 WH컬러 미입고로 7000PCS 요청</t>
    <phoneticPr fontId="3" type="noConversion"/>
  </si>
  <si>
    <t>ㄴ 전년 주차별 판매 데이터에 근거하여 로직 반영</t>
    <phoneticPr fontId="3" type="noConversion"/>
  </si>
  <si>
    <t>■ 2PACK  리오더 점검 로직 : 26SS 리오더 로직과 다르게 반영 (2PACK 금년 품번 X, 재고 부족 이슈로 최근 판매 데이터 반영 어려움)</t>
    <phoneticPr fontId="3" type="noConversion"/>
  </si>
  <si>
    <t>■ 26SS 리오더 로직 : 전년 판매 비중(복종별, 주차별) * 전년 판매율 * 트렌드지수(최근2주 평균 판매량 / 최근 4주 평균 판매량) 및 목표판매율 반영 = 재고를 제외한 순수 판매 가능 수량 기준으로, 9월말까지의 예상 판매량 추정)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</si>
</sst>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&quot;월&quot;\ d&quot;일&quot;;@"/>
    <numFmt numFmtId="177" formatCode="_(* #,##0_);_(* \(#,##0\);_(* &quot;-&quot;_);_(@_)"/>
    <numFmt numFmtId="178" formatCode="mm\/dd"/>
    <numFmt numFmtId="179" formatCode="\~mm\/dd"/>
    <numFmt numFmtId="180" formatCode="##,###,,"/>
  </numFmts>
  <fonts count="12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name val="맑은 고딕"/>
      <family val="2"/>
      <charset val="129"/>
    </font>
    <font>
      <sz val="11"/>
      <color theme="0"/>
      <name val="맑은 고딕"/>
      <family val="2"/>
      <charset val="129"/>
    </font>
    <font>
      <i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theme="1"/>
      <name val="Pretendard"/>
      <family val="3"/>
      <charset val="129"/>
    </font>
    <font>
      <sz val="11"/>
      <name val="Calibri"/>
      <family val="2"/>
    </font>
    <font>
      <sz val="9"/>
      <name val="Pretendard"/>
      <family val="3"/>
      <charset val="129"/>
    </font>
    <font>
      <b/>
      <sz val="12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110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7" xfId="1" applyFont="1" applyBorder="1">
      <alignment vertical="center"/>
    </xf>
    <xf numFmtId="177" fontId="0" fillId="0" borderId="7" xfId="1" applyFont="1" applyBorder="1" applyAlignment="1">
      <alignment horizontal="center" vertical="center"/>
    </xf>
    <xf numFmtId="9" fontId="0" fillId="0" borderId="7" xfId="2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10" xfId="1" applyFont="1" applyBorder="1">
      <alignment vertical="center"/>
    </xf>
    <xf numFmtId="177" fontId="0" fillId="0" borderId="10" xfId="1" applyFont="1" applyBorder="1" applyAlignment="1">
      <alignment horizontal="center" vertical="center"/>
    </xf>
    <xf numFmtId="9" fontId="0" fillId="0" borderId="10" xfId="2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9" fontId="0" fillId="0" borderId="0" xfId="2" applyFont="1">
      <alignment vertical="center"/>
    </xf>
    <xf numFmtId="0" fontId="4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9" fontId="0" fillId="0" borderId="13" xfId="2" applyFont="1" applyBorder="1" applyAlignment="1">
      <alignment horizontal="center" vertical="center"/>
    </xf>
    <xf numFmtId="9" fontId="0" fillId="0" borderId="12" xfId="2" applyFont="1" applyBorder="1" applyAlignment="1">
      <alignment horizontal="center" vertical="center"/>
    </xf>
    <xf numFmtId="9" fontId="0" fillId="0" borderId="8" xfId="2" applyFont="1" applyBorder="1">
      <alignment vertical="center"/>
    </xf>
    <xf numFmtId="0" fontId="0" fillId="0" borderId="14" xfId="0" applyBorder="1" applyAlignment="1">
      <alignment horizontal="center" vertical="center"/>
    </xf>
    <xf numFmtId="177" fontId="4" fillId="0" borderId="1" xfId="1" applyFont="1" applyBorder="1" applyAlignment="1">
      <alignment horizontal="left" vertical="center"/>
    </xf>
    <xf numFmtId="9" fontId="0" fillId="0" borderId="15" xfId="2" applyFont="1" applyBorder="1" applyAlignment="1">
      <alignment horizontal="center" vertical="center"/>
    </xf>
    <xf numFmtId="9" fontId="0" fillId="0" borderId="16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0" borderId="11" xfId="2" applyFont="1" applyBorder="1">
      <alignment vertical="center"/>
    </xf>
    <xf numFmtId="177" fontId="0" fillId="0" borderId="0" xfId="1" applyFo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0" fillId="0" borderId="3" xfId="1" applyFont="1" applyBorder="1" applyAlignment="1">
      <alignment horizontal="center" vertical="center"/>
    </xf>
    <xf numFmtId="177" fontId="0" fillId="0" borderId="13" xfId="1" applyFont="1" applyBorder="1" applyAlignment="1">
      <alignment horizontal="center" vertical="center"/>
    </xf>
    <xf numFmtId="177" fontId="0" fillId="0" borderId="12" xfId="1" applyFont="1" applyBorder="1" applyAlignment="1">
      <alignment horizontal="center" vertical="center"/>
    </xf>
    <xf numFmtId="177" fontId="0" fillId="0" borderId="8" xfId="1" applyFont="1" applyBorder="1">
      <alignment vertical="center"/>
    </xf>
    <xf numFmtId="177" fontId="0" fillId="0" borderId="15" xfId="1" applyFont="1" applyBorder="1" applyAlignment="1">
      <alignment horizontal="center" vertical="center"/>
    </xf>
    <xf numFmtId="177" fontId="0" fillId="0" borderId="16" xfId="1" applyFont="1" applyBorder="1" applyAlignment="1">
      <alignment horizontal="center" vertical="center"/>
    </xf>
    <xf numFmtId="177" fontId="0" fillId="0" borderId="17" xfId="1" applyFont="1" applyBorder="1" applyAlignment="1">
      <alignment horizontal="center" vertical="center"/>
    </xf>
    <xf numFmtId="177" fontId="0" fillId="0" borderId="11" xfId="1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7" xfId="0" applyNumberFormat="1" applyBorder="1">
      <alignment vertical="center"/>
    </xf>
    <xf numFmtId="177" fontId="0" fillId="0" borderId="8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7" fontId="0" fillId="0" borderId="10" xfId="0" applyNumberFormat="1" applyBorder="1">
      <alignment vertical="center"/>
    </xf>
    <xf numFmtId="177" fontId="0" fillId="0" borderId="11" xfId="0" applyNumberForma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9" fontId="0" fillId="0" borderId="5" xfId="2" applyFont="1" applyBorder="1">
      <alignment vertical="center"/>
    </xf>
    <xf numFmtId="9" fontId="0" fillId="0" borderId="4" xfId="2" applyFont="1" applyBorder="1">
      <alignment vertical="center"/>
    </xf>
    <xf numFmtId="177" fontId="6" fillId="0" borderId="0" xfId="1" applyFont="1" applyAlignment="1">
      <alignment horizontal="right" vertical="center"/>
    </xf>
    <xf numFmtId="177" fontId="6" fillId="0" borderId="0" xfId="1" applyFont="1">
      <alignment vertical="center"/>
    </xf>
    <xf numFmtId="0" fontId="0" fillId="0" borderId="1" xfId="0" applyBorder="1">
      <alignment vertical="center"/>
    </xf>
    <xf numFmtId="177" fontId="6" fillId="0" borderId="0" xfId="1" applyFont="1" applyAlignment="1">
      <alignment horizontal="center" vertical="center"/>
    </xf>
    <xf numFmtId="9" fontId="0" fillId="0" borderId="0" xfId="0" applyNumberForma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78" fontId="8" fillId="2" borderId="5" xfId="2" applyNumberFormat="1" applyFont="1" applyFill="1" applyBorder="1" applyAlignment="1">
      <alignment horizontal="center" vertical="center"/>
    </xf>
    <xf numFmtId="179" fontId="8" fillId="3" borderId="5" xfId="0" applyNumberFormat="1" applyFont="1" applyFill="1" applyBorder="1" applyAlignment="1">
      <alignment horizontal="centerContinuous" vertical="center" wrapText="1"/>
    </xf>
    <xf numFmtId="179" fontId="8" fillId="3" borderId="18" xfId="0" applyNumberFormat="1" applyFont="1" applyFill="1" applyBorder="1" applyAlignment="1">
      <alignment horizontal="centerContinuous" vertical="center" wrapText="1"/>
    </xf>
    <xf numFmtId="179" fontId="8" fillId="3" borderId="4" xfId="0" applyNumberFormat="1" applyFont="1" applyFill="1" applyBorder="1" applyAlignment="1">
      <alignment horizontal="centerContinuous" vertical="center" wrapText="1"/>
    </xf>
    <xf numFmtId="14" fontId="10" fillId="4" borderId="4" xfId="3" applyNumberFormat="1" applyFont="1" applyFill="1" applyBorder="1" applyAlignment="1">
      <alignment horizontal="center" vertical="top" wrapText="1"/>
    </xf>
    <xf numFmtId="14" fontId="10" fillId="4" borderId="5" xfId="3" applyNumberFormat="1" applyFont="1" applyFill="1" applyBorder="1" applyAlignment="1">
      <alignment horizontal="center" vertical="top" wrapText="1"/>
    </xf>
    <xf numFmtId="0" fontId="0" fillId="0" borderId="5" xfId="0" applyBorder="1">
      <alignment vertical="center"/>
    </xf>
    <xf numFmtId="0" fontId="0" fillId="0" borderId="18" xfId="0" applyBorder="1" applyAlignment="1">
      <alignment horizontal="center" vertical="center"/>
    </xf>
    <xf numFmtId="177" fontId="0" fillId="0" borderId="5" xfId="1" applyFont="1" applyBorder="1">
      <alignment vertical="center"/>
    </xf>
    <xf numFmtId="177" fontId="0" fillId="0" borderId="5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9" xfId="0" applyNumberFormat="1" applyBorder="1">
      <alignment vertical="center"/>
    </xf>
    <xf numFmtId="0" fontId="0" fillId="0" borderId="18" xfId="0" applyBorder="1">
      <alignment vertical="center"/>
    </xf>
    <xf numFmtId="9" fontId="0" fillId="0" borderId="19" xfId="2" applyFont="1" applyBorder="1">
      <alignment vertical="center"/>
    </xf>
    <xf numFmtId="9" fontId="0" fillId="0" borderId="20" xfId="2" applyFont="1" applyBorder="1">
      <alignment vertical="center"/>
    </xf>
    <xf numFmtId="177" fontId="0" fillId="0" borderId="19" xfId="1" applyFont="1" applyBorder="1">
      <alignment vertical="center"/>
    </xf>
    <xf numFmtId="177" fontId="0" fillId="0" borderId="20" xfId="1" applyFont="1" applyBorder="1">
      <alignment vertical="center"/>
    </xf>
    <xf numFmtId="177" fontId="0" fillId="0" borderId="20" xfId="0" applyNumberFormat="1" applyBorder="1">
      <alignment vertical="center"/>
    </xf>
    <xf numFmtId="0" fontId="0" fillId="0" borderId="3" xfId="0" applyBorder="1">
      <alignment vertical="center"/>
    </xf>
    <xf numFmtId="0" fontId="0" fillId="0" borderId="13" xfId="0" applyBorder="1">
      <alignment vertical="center"/>
    </xf>
    <xf numFmtId="9" fontId="0" fillId="0" borderId="7" xfId="2" applyFont="1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77" fontId="0" fillId="2" borderId="5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80" fontId="0" fillId="0" borderId="7" xfId="0" applyNumberFormat="1" applyBorder="1">
      <alignment vertical="center"/>
    </xf>
    <xf numFmtId="180" fontId="0" fillId="0" borderId="8" xfId="0" applyNumberFormat="1" applyBorder="1">
      <alignment vertical="center"/>
    </xf>
    <xf numFmtId="180" fontId="0" fillId="0" borderId="10" xfId="0" applyNumberFormat="1" applyBorder="1">
      <alignment vertical="center"/>
    </xf>
    <xf numFmtId="180" fontId="0" fillId="0" borderId="20" xfId="0" applyNumberFormat="1" applyBorder="1">
      <alignment vertical="center"/>
    </xf>
    <xf numFmtId="180" fontId="0" fillId="0" borderId="11" xfId="0" applyNumberFormat="1" applyBorder="1">
      <alignment vertical="center"/>
    </xf>
    <xf numFmtId="0" fontId="7" fillId="0" borderId="0" xfId="0" applyFont="1">
      <alignment vertical="center"/>
    </xf>
    <xf numFmtId="176" fontId="2" fillId="2" borderId="5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8" xfId="0" applyFill="1" applyBorder="1">
      <alignment vertical="center"/>
    </xf>
    <xf numFmtId="176" fontId="11" fillId="0" borderId="0" xfId="0" applyNumberFormat="1" applyFont="1" applyAlignment="1">
      <alignment horizontal="left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CD4C2F90-5A09-4F1E-BDDA-224A3DADA5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rrelsco-my.sharepoint.com/personal/kim_mh_barrelsco_onmicrosoft_com/Documents/&#50752;&#47551;&#51060;&#51596;/1.&#50752;&#47551;&#51060;&#51596;/4.%20&#50689;&#50629;/&#9733;&#50689;&#50629;&#44592;&#54925;/1.&#49884;&#51596;&#44228;&#54925;/5.%2026SS/FCST/&#9675;&#9679;&#9675;26SS_&#50752;&#53412;&#50956;&#47532;%20&#49457;&#48324;&#48373;&#51333;&#48324;%20FCST_260510%20-%20&#48373;&#49324;&#48376;.xlsb" TargetMode="External"/><Relationship Id="rId1" Type="http://schemas.openxmlformats.org/officeDocument/2006/relationships/externalLinkPath" Target="https://barrelsco-my.sharepoint.com/personal/kim_mh_barrelsco_onmicrosoft_com/Documents/&#50752;&#47551;&#51060;&#51596;/1.&#50752;&#47551;&#51060;&#51596;/4.%20&#50689;&#50629;/&#9733;&#50689;&#50629;&#44592;&#54925;/1.&#49884;&#51596;&#44228;&#54925;/5.%2026SS/FCST/&#9675;&#9679;&#9675;26SS_&#50752;&#53412;&#50956;&#47532;%20&#49457;&#48324;&#48373;&#51333;&#48324;%20FCST_260510%20-%20&#48373;&#49324;&#48376;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rrelsco-my.sharepoint.com/personal/kim_mh_barrelsco_onmicrosoft_com/Documents/&#50752;&#47551;&#51060;&#51596;/1.&#50752;&#47551;&#51060;&#51596;/4.%20&#50689;&#50629;/&#9733;&#50689;&#50629;&#44592;&#54925;/1.&#49884;&#51596;&#44228;&#54925;/5.%2026SS/&#9733;&#50752;&#53412;&#50956;&#47532;_26SS%20&#52292;&#45328;&#48324;%20&#48516;&#48176;_&#52572;&#51333;_0317.xlsx" TargetMode="External"/><Relationship Id="rId1" Type="http://schemas.openxmlformats.org/officeDocument/2006/relationships/externalLinkPath" Target="https://barrelsco-my.sharepoint.com/personal/kim_mh_barrelsco_onmicrosoft_com/Documents/&#50752;&#47551;&#51060;&#51596;/1.&#50752;&#47551;&#51060;&#51596;/4.%20&#50689;&#50629;/&#9733;&#50689;&#50629;&#44592;&#54925;/1.&#49884;&#51596;&#44228;&#54925;/5.%2026SS/&#9733;&#50752;&#53412;&#50956;&#47532;_26SS%20&#52292;&#45328;&#48324;%20&#48516;&#48176;_&#52572;&#51333;_03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취합용"/>
      <sheetName val="장표"/>
      <sheetName val="보고용"/>
      <sheetName val="요약장"/>
      <sheetName val="복종별 발주현황"/>
      <sheetName val="리오더"/>
      <sheetName val="현황"/>
      <sheetName val="품번검토"/>
      <sheetName val="IMC"/>
      <sheetName val="예측치"/>
      <sheetName val="26년 목표"/>
      <sheetName val="25년주간판매비중"/>
      <sheetName val="품종집"/>
      <sheetName val="품번별 수불현황"/>
      <sheetName val="LIST"/>
      <sheetName val="발주_입고"/>
      <sheetName val="판매_금년"/>
      <sheetName val="판매_26년(실판)"/>
      <sheetName val="판매_금년(TAG)"/>
      <sheetName val="판매_전년"/>
      <sheetName val="판매_전년(실판)"/>
      <sheetName val="판매_전년(TAG)"/>
      <sheetName val="판매추이_25년 월별 실판매"/>
      <sheetName val="상품조회(요약)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L1" t="str">
            <v>입고금액(tag)</v>
          </cell>
        </row>
        <row r="2">
          <cell r="L2">
            <v>48897935000</v>
          </cell>
        </row>
        <row r="3">
          <cell r="L3">
            <v>25241511000</v>
          </cell>
        </row>
        <row r="4">
          <cell r="L4">
            <v>23656424000</v>
          </cell>
        </row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78630823000</v>
          </cell>
        </row>
        <row r="9">
          <cell r="L9">
            <v>38716706000</v>
          </cell>
        </row>
        <row r="10">
          <cell r="L10">
            <v>39914117000</v>
          </cell>
        </row>
        <row r="11">
          <cell r="L11">
            <v>65447975000</v>
          </cell>
        </row>
        <row r="12">
          <cell r="L12">
            <v>46130999000</v>
          </cell>
        </row>
        <row r="13">
          <cell r="L13">
            <v>19316976000</v>
          </cell>
        </row>
        <row r="15">
          <cell r="BW15" t="b">
            <v>1</v>
          </cell>
        </row>
        <row r="16">
          <cell r="BW16" t="str">
            <v>수량</v>
          </cell>
        </row>
        <row r="17">
          <cell r="BW17" t="str">
            <v>총재고</v>
          </cell>
        </row>
        <row r="18">
          <cell r="L18" t="str">
            <v>SKU</v>
          </cell>
          <cell r="BW18" t="str">
            <v>수량</v>
          </cell>
        </row>
        <row r="19">
          <cell r="L19" t="str">
            <v>WA2501BG02BK</v>
          </cell>
          <cell r="BW19">
            <v>915</v>
          </cell>
        </row>
        <row r="20">
          <cell r="L20" t="str">
            <v>WA2501BG02CH</v>
          </cell>
          <cell r="BW20">
            <v>678</v>
          </cell>
        </row>
        <row r="21">
          <cell r="L21" t="str">
            <v>WA2501BG03CH</v>
          </cell>
          <cell r="BW21">
            <v>937</v>
          </cell>
        </row>
        <row r="22">
          <cell r="L22" t="str">
            <v>WA2501BG03PI</v>
          </cell>
          <cell r="BW22">
            <v>547</v>
          </cell>
        </row>
        <row r="23">
          <cell r="L23" t="str">
            <v>WA2501BG04BK</v>
          </cell>
          <cell r="BW23">
            <v>177</v>
          </cell>
        </row>
        <row r="24">
          <cell r="L24" t="str">
            <v>WA2501BG04CH</v>
          </cell>
          <cell r="BW24">
            <v>179</v>
          </cell>
        </row>
        <row r="25">
          <cell r="L25" t="str">
            <v>WA2501BG04PI</v>
          </cell>
          <cell r="BW25">
            <v>120</v>
          </cell>
        </row>
        <row r="26">
          <cell r="L26" t="str">
            <v>WA2501BG51BK</v>
          </cell>
          <cell r="BW26">
            <v>235</v>
          </cell>
        </row>
        <row r="27">
          <cell r="L27" t="str">
            <v>WA2501BG51IV</v>
          </cell>
          <cell r="BW27">
            <v>194</v>
          </cell>
        </row>
        <row r="28">
          <cell r="L28" t="str">
            <v>WA2501BG51SV</v>
          </cell>
          <cell r="BW28">
            <v>139</v>
          </cell>
        </row>
        <row r="29">
          <cell r="L29" t="str">
            <v>WA2501BG52BK</v>
          </cell>
          <cell r="BW29">
            <v>633</v>
          </cell>
        </row>
        <row r="30">
          <cell r="L30" t="str">
            <v>WA2501BG52IV</v>
          </cell>
          <cell r="BW30">
            <v>437</v>
          </cell>
        </row>
        <row r="31">
          <cell r="L31" t="str">
            <v>WA2501BG52SV</v>
          </cell>
          <cell r="BW31">
            <v>353</v>
          </cell>
        </row>
        <row r="32">
          <cell r="L32" t="str">
            <v>WA2501BG54BK</v>
          </cell>
          <cell r="BW32">
            <v>190</v>
          </cell>
        </row>
        <row r="33">
          <cell r="L33" t="str">
            <v>WA2501BG54IN</v>
          </cell>
          <cell r="BW33">
            <v>21</v>
          </cell>
        </row>
        <row r="34">
          <cell r="L34" t="str">
            <v>WA2501BG54IV</v>
          </cell>
          <cell r="BW34">
            <v>406</v>
          </cell>
        </row>
        <row r="35">
          <cell r="L35" t="str">
            <v>WA2501BG81BK</v>
          </cell>
          <cell r="BW35">
            <v>144</v>
          </cell>
        </row>
        <row r="36">
          <cell r="L36" t="str">
            <v>WA2501BG81IN</v>
          </cell>
          <cell r="BW36">
            <v>50</v>
          </cell>
        </row>
        <row r="37">
          <cell r="L37" t="str">
            <v>WA2501BG82BK</v>
          </cell>
          <cell r="BW37">
            <v>39</v>
          </cell>
        </row>
        <row r="38">
          <cell r="L38" t="str">
            <v>WA2501BG82IN</v>
          </cell>
          <cell r="BW38">
            <v>51</v>
          </cell>
        </row>
        <row r="39">
          <cell r="L39" t="str">
            <v>WA2501BG83BK</v>
          </cell>
          <cell r="BW39">
            <v>19</v>
          </cell>
        </row>
        <row r="40">
          <cell r="L40" t="str">
            <v>WA2501BG83IN</v>
          </cell>
          <cell r="BW40">
            <v>31</v>
          </cell>
        </row>
        <row r="41">
          <cell r="L41" t="str">
            <v>WA2501BP01BK</v>
          </cell>
          <cell r="BW41">
            <v>119</v>
          </cell>
        </row>
        <row r="42">
          <cell r="L42" t="str">
            <v>WA2501BP01IV</v>
          </cell>
          <cell r="BW42">
            <v>161</v>
          </cell>
        </row>
        <row r="43">
          <cell r="L43" t="str">
            <v>WA2501BP02BK</v>
          </cell>
          <cell r="BW43">
            <v>308</v>
          </cell>
        </row>
        <row r="44">
          <cell r="L44" t="str">
            <v>WA2501BP02IV</v>
          </cell>
          <cell r="BW44">
            <v>60</v>
          </cell>
        </row>
        <row r="45">
          <cell r="L45" t="str">
            <v>WA2501BP03BK</v>
          </cell>
          <cell r="BW45">
            <v>64</v>
          </cell>
        </row>
        <row r="46">
          <cell r="L46" t="str">
            <v>WA2501BP03CH</v>
          </cell>
          <cell r="BW46">
            <v>348</v>
          </cell>
        </row>
        <row r="47">
          <cell r="L47" t="str">
            <v>WA2501BP04BK</v>
          </cell>
          <cell r="BW47">
            <v>958</v>
          </cell>
        </row>
        <row r="48">
          <cell r="L48" t="str">
            <v>WA2501BP05BE</v>
          </cell>
          <cell r="BW48">
            <v>800</v>
          </cell>
        </row>
        <row r="49">
          <cell r="L49" t="str">
            <v>WA2501BP05BK</v>
          </cell>
          <cell r="BW49">
            <v>2056</v>
          </cell>
        </row>
        <row r="50">
          <cell r="L50" t="str">
            <v>WA2501BP05NA</v>
          </cell>
          <cell r="BW50">
            <v>681</v>
          </cell>
        </row>
        <row r="51">
          <cell r="L51" t="str">
            <v>WA2501BP06BK</v>
          </cell>
          <cell r="BW51">
            <v>548</v>
          </cell>
        </row>
        <row r="52">
          <cell r="L52" t="str">
            <v>WA2501BP06CH</v>
          </cell>
          <cell r="BW52">
            <v>359</v>
          </cell>
        </row>
        <row r="53">
          <cell r="L53" t="str">
            <v>WA2501BP07GR</v>
          </cell>
          <cell r="BW53">
            <v>718</v>
          </cell>
        </row>
        <row r="54">
          <cell r="L54" t="str">
            <v>WA2501BP51BK</v>
          </cell>
          <cell r="BW54">
            <v>380</v>
          </cell>
        </row>
        <row r="55">
          <cell r="L55" t="str">
            <v>WA2501BP51BL</v>
          </cell>
          <cell r="BW55">
            <v>470</v>
          </cell>
        </row>
        <row r="56">
          <cell r="L56" t="str">
            <v>WA2501BP51IV</v>
          </cell>
          <cell r="BW56">
            <v>512</v>
          </cell>
        </row>
        <row r="57">
          <cell r="L57" t="str">
            <v>WA2501BP52BK</v>
          </cell>
          <cell r="BW57">
            <v>233</v>
          </cell>
        </row>
        <row r="58">
          <cell r="L58" t="str">
            <v>WA2501BP53BK</v>
          </cell>
          <cell r="BW58">
            <v>26</v>
          </cell>
        </row>
        <row r="59">
          <cell r="L59" t="str">
            <v>WA2501BP53IN</v>
          </cell>
          <cell r="BW59">
            <v>19</v>
          </cell>
        </row>
        <row r="60">
          <cell r="L60" t="str">
            <v>WA2501BP53IV</v>
          </cell>
          <cell r="BW60">
            <v>54</v>
          </cell>
        </row>
        <row r="61">
          <cell r="L61" t="str">
            <v>WA2501BP81BK</v>
          </cell>
          <cell r="BW61">
            <v>49</v>
          </cell>
        </row>
        <row r="62">
          <cell r="L62" t="str">
            <v>WA2501CA01BE</v>
          </cell>
          <cell r="BW62">
            <v>213</v>
          </cell>
        </row>
        <row r="63">
          <cell r="L63" t="str">
            <v>WA2501CA01BK</v>
          </cell>
          <cell r="BW63">
            <v>565</v>
          </cell>
        </row>
        <row r="64">
          <cell r="L64" t="str">
            <v>WA2501CA01BL</v>
          </cell>
          <cell r="BW64">
            <v>229</v>
          </cell>
        </row>
        <row r="65">
          <cell r="L65" t="str">
            <v>WA2501CA01CH</v>
          </cell>
          <cell r="BW65">
            <v>1230</v>
          </cell>
        </row>
        <row r="66">
          <cell r="L66" t="str">
            <v>WA2501CA01GN</v>
          </cell>
          <cell r="BW66">
            <v>55</v>
          </cell>
        </row>
        <row r="67">
          <cell r="L67" t="str">
            <v>WA2501CA01GR</v>
          </cell>
          <cell r="BW67">
            <v>25</v>
          </cell>
        </row>
        <row r="68">
          <cell r="L68" t="str">
            <v>WA2501CA01NA</v>
          </cell>
          <cell r="BW68">
            <v>46</v>
          </cell>
        </row>
        <row r="69">
          <cell r="L69" t="str">
            <v>WA2501CA01PI</v>
          </cell>
          <cell r="BW69">
            <v>181</v>
          </cell>
        </row>
        <row r="70">
          <cell r="L70" t="str">
            <v>WA2501CA01PU</v>
          </cell>
          <cell r="BW70">
            <v>211</v>
          </cell>
        </row>
        <row r="71">
          <cell r="L71" t="str">
            <v>WA2501CA01WH</v>
          </cell>
          <cell r="BW71">
            <v>425</v>
          </cell>
        </row>
        <row r="72">
          <cell r="L72" t="str">
            <v>WA2501CA02BE</v>
          </cell>
          <cell r="BW72">
            <v>586</v>
          </cell>
        </row>
        <row r="73">
          <cell r="L73" t="str">
            <v>WA2501CA02BK</v>
          </cell>
          <cell r="BW73">
            <v>118</v>
          </cell>
        </row>
        <row r="74">
          <cell r="L74" t="str">
            <v>WA2501CA02BR</v>
          </cell>
          <cell r="BW74">
            <v>75</v>
          </cell>
        </row>
        <row r="75">
          <cell r="L75" t="str">
            <v>WA2501CA02CH</v>
          </cell>
          <cell r="BW75">
            <v>64</v>
          </cell>
        </row>
        <row r="76">
          <cell r="L76" t="str">
            <v>WA2501CA02IV</v>
          </cell>
          <cell r="BW76">
            <v>163</v>
          </cell>
        </row>
        <row r="77">
          <cell r="L77" t="str">
            <v>WA2501CA02PI</v>
          </cell>
          <cell r="BW77">
            <v>132</v>
          </cell>
        </row>
        <row r="78">
          <cell r="L78" t="str">
            <v>WA2501CA02SB</v>
          </cell>
          <cell r="BW78">
            <v>152</v>
          </cell>
        </row>
        <row r="79">
          <cell r="L79" t="str">
            <v>WA2501CA03BK</v>
          </cell>
          <cell r="BW79">
            <v>236</v>
          </cell>
        </row>
        <row r="80">
          <cell r="L80" t="str">
            <v>WA2501CA03BL</v>
          </cell>
          <cell r="BW80">
            <v>151</v>
          </cell>
        </row>
        <row r="81">
          <cell r="L81" t="str">
            <v>WA2501CA03GR</v>
          </cell>
          <cell r="BW81">
            <v>94</v>
          </cell>
        </row>
        <row r="82">
          <cell r="L82" t="str">
            <v>WA2501CA03IV</v>
          </cell>
          <cell r="BW82">
            <v>92</v>
          </cell>
        </row>
        <row r="83">
          <cell r="L83" t="str">
            <v>WA2501CA04BE</v>
          </cell>
          <cell r="BW83">
            <v>646</v>
          </cell>
        </row>
        <row r="84">
          <cell r="L84" t="str">
            <v>WA2501CA04KH</v>
          </cell>
          <cell r="BW84">
            <v>692</v>
          </cell>
        </row>
        <row r="85">
          <cell r="L85" t="str">
            <v>WA2501CA05BK</v>
          </cell>
          <cell r="BW85">
            <v>87</v>
          </cell>
        </row>
        <row r="86">
          <cell r="L86" t="str">
            <v>WA2501CA05IN</v>
          </cell>
          <cell r="BW86">
            <v>124</v>
          </cell>
        </row>
        <row r="87">
          <cell r="L87" t="str">
            <v>WA2501CA05SB</v>
          </cell>
          <cell r="BW87">
            <v>66</v>
          </cell>
        </row>
        <row r="88">
          <cell r="L88" t="str">
            <v>WA2501CA06BK</v>
          </cell>
          <cell r="BW88">
            <v>13</v>
          </cell>
        </row>
        <row r="89">
          <cell r="L89" t="str">
            <v>WA2501CA07BL</v>
          </cell>
          <cell r="BW89">
            <v>375</v>
          </cell>
        </row>
        <row r="90">
          <cell r="L90" t="str">
            <v>WA2501CA07IV</v>
          </cell>
          <cell r="BW90">
            <v>244</v>
          </cell>
        </row>
        <row r="91">
          <cell r="L91" t="str">
            <v>WA2501CA08BR</v>
          </cell>
          <cell r="BW91">
            <v>430</v>
          </cell>
        </row>
        <row r="92">
          <cell r="L92" t="str">
            <v>WA2501CA08KH</v>
          </cell>
          <cell r="BW92">
            <v>453</v>
          </cell>
        </row>
        <row r="93">
          <cell r="L93" t="str">
            <v>WA2501CA09BK</v>
          </cell>
          <cell r="BW93">
            <v>255</v>
          </cell>
        </row>
        <row r="94">
          <cell r="L94" t="str">
            <v>WA2501CA09GR</v>
          </cell>
          <cell r="BW94">
            <v>151</v>
          </cell>
        </row>
        <row r="95">
          <cell r="L95" t="str">
            <v>WA2501CA09KH</v>
          </cell>
          <cell r="BW95">
            <v>46</v>
          </cell>
        </row>
        <row r="96">
          <cell r="L96" t="str">
            <v>WA2501CA10BE</v>
          </cell>
          <cell r="BW96">
            <v>162</v>
          </cell>
        </row>
        <row r="97">
          <cell r="L97" t="str">
            <v>WA2501CA10BE</v>
          </cell>
          <cell r="BW97">
            <v>218</v>
          </cell>
        </row>
        <row r="98">
          <cell r="L98" t="str">
            <v>WA2501CA10BK</v>
          </cell>
          <cell r="BW98">
            <v>210</v>
          </cell>
        </row>
        <row r="99">
          <cell r="L99" t="str">
            <v>WA2501CA10BK</v>
          </cell>
          <cell r="BW99">
            <v>384</v>
          </cell>
        </row>
        <row r="100">
          <cell r="L100" t="str">
            <v>WA2501CA10NA</v>
          </cell>
          <cell r="BW100">
            <v>138</v>
          </cell>
        </row>
        <row r="101">
          <cell r="L101" t="str">
            <v>WA2501CA10NA</v>
          </cell>
          <cell r="BW101">
            <v>180</v>
          </cell>
        </row>
        <row r="102">
          <cell r="L102" t="str">
            <v>WA2501CA11BE</v>
          </cell>
          <cell r="BW102">
            <v>133</v>
          </cell>
        </row>
        <row r="103">
          <cell r="L103" t="str">
            <v>WA2501CA11GR</v>
          </cell>
          <cell r="BW103">
            <v>64</v>
          </cell>
        </row>
        <row r="104">
          <cell r="L104" t="str">
            <v>WA2501CA11IV</v>
          </cell>
          <cell r="BW104">
            <v>46</v>
          </cell>
        </row>
        <row r="105">
          <cell r="L105" t="str">
            <v>WA2501CA12BL</v>
          </cell>
          <cell r="BW105">
            <v>104</v>
          </cell>
        </row>
        <row r="106">
          <cell r="L106" t="str">
            <v>WA2501CA12PI</v>
          </cell>
          <cell r="BW106">
            <v>85</v>
          </cell>
        </row>
        <row r="107">
          <cell r="L107" t="str">
            <v>WA2501CA13BE</v>
          </cell>
          <cell r="BW107">
            <v>527</v>
          </cell>
        </row>
        <row r="108">
          <cell r="L108" t="str">
            <v>WA2501CA13NA</v>
          </cell>
          <cell r="BW108">
            <v>687</v>
          </cell>
        </row>
        <row r="109">
          <cell r="L109" t="str">
            <v>WA2501CA14KH</v>
          </cell>
          <cell r="BW109">
            <v>127</v>
          </cell>
        </row>
        <row r="110">
          <cell r="L110" t="str">
            <v>WA2501CA14KH</v>
          </cell>
          <cell r="BW110">
            <v>198</v>
          </cell>
        </row>
        <row r="111">
          <cell r="L111" t="str">
            <v>WA2501CA14NA</v>
          </cell>
          <cell r="BW111">
            <v>70</v>
          </cell>
        </row>
        <row r="112">
          <cell r="L112" t="str">
            <v>WA2501CA14NA</v>
          </cell>
          <cell r="BW112">
            <v>113</v>
          </cell>
        </row>
        <row r="113">
          <cell r="L113" t="str">
            <v>WA2501CA15BK</v>
          </cell>
          <cell r="BW113">
            <v>60</v>
          </cell>
        </row>
        <row r="114">
          <cell r="L114" t="str">
            <v>WA2501CA15IV</v>
          </cell>
          <cell r="BW114">
            <v>74</v>
          </cell>
        </row>
        <row r="115">
          <cell r="L115" t="str">
            <v>WA2501CA16BE</v>
          </cell>
          <cell r="BW115">
            <v>40</v>
          </cell>
        </row>
        <row r="116">
          <cell r="L116" t="str">
            <v>WA2501CA16MI</v>
          </cell>
          <cell r="BW116">
            <v>118</v>
          </cell>
        </row>
        <row r="117">
          <cell r="L117" t="str">
            <v>WA2501CA16NA</v>
          </cell>
          <cell r="BW117">
            <v>38</v>
          </cell>
        </row>
        <row r="118">
          <cell r="L118" t="str">
            <v>WA2501CA17NA</v>
          </cell>
          <cell r="BW118">
            <v>122</v>
          </cell>
        </row>
        <row r="119">
          <cell r="L119" t="str">
            <v>WA2501CA17PI</v>
          </cell>
          <cell r="BW119">
            <v>120</v>
          </cell>
        </row>
        <row r="120">
          <cell r="L120" t="str">
            <v>WA2501CA81BK</v>
          </cell>
          <cell r="BW120">
            <v>102</v>
          </cell>
        </row>
        <row r="121">
          <cell r="L121" t="str">
            <v>WA2501CA81IV</v>
          </cell>
          <cell r="BW121">
            <v>80</v>
          </cell>
        </row>
        <row r="122">
          <cell r="L122" t="str">
            <v>WA2501CA81MI</v>
          </cell>
          <cell r="BW122">
            <v>25</v>
          </cell>
        </row>
        <row r="123">
          <cell r="L123" t="str">
            <v>WA2501CA82ID</v>
          </cell>
          <cell r="BW123">
            <v>93</v>
          </cell>
        </row>
        <row r="124">
          <cell r="L124" t="str">
            <v>WA2501CA82IN</v>
          </cell>
          <cell r="BW124">
            <v>372</v>
          </cell>
        </row>
        <row r="125">
          <cell r="L125" t="str">
            <v>WA2501CB01BK</v>
          </cell>
          <cell r="BW125">
            <v>661</v>
          </cell>
        </row>
        <row r="126">
          <cell r="L126" t="str">
            <v>WA2501CB01IV</v>
          </cell>
          <cell r="BW126">
            <v>609</v>
          </cell>
        </row>
        <row r="127">
          <cell r="L127" t="str">
            <v>WA2501CB02BK</v>
          </cell>
          <cell r="BW127">
            <v>1008</v>
          </cell>
        </row>
        <row r="128">
          <cell r="L128" t="str">
            <v>WA2501CB03BK</v>
          </cell>
          <cell r="BW128">
            <v>418</v>
          </cell>
        </row>
        <row r="129">
          <cell r="L129" t="str">
            <v>WA2501CB04BK</v>
          </cell>
          <cell r="BW129">
            <v>217</v>
          </cell>
        </row>
        <row r="130">
          <cell r="L130" t="str">
            <v>WA2501CB05BK</v>
          </cell>
          <cell r="BW130">
            <v>341</v>
          </cell>
        </row>
        <row r="131">
          <cell r="L131" t="str">
            <v>WA2501CB06BK</v>
          </cell>
          <cell r="BW131">
            <v>139</v>
          </cell>
        </row>
        <row r="132">
          <cell r="L132" t="str">
            <v>WA2501CB07BE</v>
          </cell>
          <cell r="BW132">
            <v>539</v>
          </cell>
        </row>
        <row r="133">
          <cell r="L133" t="str">
            <v>WA2501CB07BK</v>
          </cell>
          <cell r="BW133">
            <v>800</v>
          </cell>
        </row>
        <row r="134">
          <cell r="L134" t="str">
            <v>WA2501CB08BK</v>
          </cell>
          <cell r="BW134">
            <v>283</v>
          </cell>
        </row>
        <row r="135">
          <cell r="L135" t="str">
            <v>WA2501CB08GR</v>
          </cell>
          <cell r="BW135">
            <v>240</v>
          </cell>
        </row>
        <row r="136">
          <cell r="L136" t="str">
            <v>WA2501CB09BK</v>
          </cell>
          <cell r="BW136">
            <v>230</v>
          </cell>
        </row>
        <row r="137">
          <cell r="L137" t="str">
            <v>WA2501CB09SY</v>
          </cell>
          <cell r="BW137">
            <v>322</v>
          </cell>
        </row>
        <row r="138">
          <cell r="L138" t="str">
            <v>WA2501CB51BK</v>
          </cell>
          <cell r="BW138">
            <v>676</v>
          </cell>
        </row>
        <row r="139">
          <cell r="L139" t="str">
            <v>WA2501CB51IN</v>
          </cell>
          <cell r="BW139">
            <v>165</v>
          </cell>
        </row>
        <row r="140">
          <cell r="L140" t="str">
            <v>WA2501CB51IV</v>
          </cell>
          <cell r="BW140">
            <v>508</v>
          </cell>
        </row>
        <row r="141">
          <cell r="L141" t="str">
            <v>WA2501CD11BK</v>
          </cell>
          <cell r="BW141">
            <v>76</v>
          </cell>
        </row>
        <row r="142">
          <cell r="L142" t="str">
            <v>WA2501CD11BK</v>
          </cell>
          <cell r="BW142">
            <v>60</v>
          </cell>
        </row>
        <row r="143">
          <cell r="L143" t="str">
            <v>WA2501CD11BK</v>
          </cell>
          <cell r="BW143">
            <v>88</v>
          </cell>
        </row>
        <row r="144">
          <cell r="L144" t="str">
            <v>WA2501CD11BK</v>
          </cell>
          <cell r="BW144">
            <v>31</v>
          </cell>
        </row>
        <row r="145">
          <cell r="L145" t="str">
            <v>WA2501CD11CM</v>
          </cell>
          <cell r="BW145">
            <v>130</v>
          </cell>
        </row>
        <row r="146">
          <cell r="L146" t="str">
            <v>WA2501CD11CM</v>
          </cell>
          <cell r="BW146">
            <v>124</v>
          </cell>
        </row>
        <row r="147">
          <cell r="L147" t="str">
            <v>WA2501CD11CM</v>
          </cell>
          <cell r="BW147">
            <v>163</v>
          </cell>
        </row>
        <row r="148">
          <cell r="L148" t="str">
            <v>WA2501CD11CM</v>
          </cell>
          <cell r="BW148">
            <v>64</v>
          </cell>
        </row>
        <row r="149">
          <cell r="L149" t="str">
            <v>WA2501CD55GR</v>
          </cell>
          <cell r="BW149">
            <v>14</v>
          </cell>
        </row>
        <row r="150">
          <cell r="L150" t="str">
            <v>WA2501CD55GR</v>
          </cell>
          <cell r="BW150">
            <v>22</v>
          </cell>
        </row>
        <row r="151">
          <cell r="L151" t="str">
            <v>WA2501CD55SB</v>
          </cell>
          <cell r="BW151">
            <v>0</v>
          </cell>
        </row>
        <row r="152">
          <cell r="L152" t="str">
            <v>WA2501CD55SB</v>
          </cell>
          <cell r="BW152">
            <v>2</v>
          </cell>
        </row>
        <row r="153">
          <cell r="L153" t="str">
            <v>WA2501CD61OT</v>
          </cell>
          <cell r="BW153">
            <v>132</v>
          </cell>
        </row>
        <row r="154">
          <cell r="L154" t="str">
            <v>WA2501CD61PI</v>
          </cell>
          <cell r="BW154">
            <v>151</v>
          </cell>
        </row>
        <row r="155">
          <cell r="L155" t="str">
            <v>WA2501CD62BL</v>
          </cell>
          <cell r="BW155">
            <v>28</v>
          </cell>
        </row>
        <row r="156">
          <cell r="L156" t="str">
            <v>WA2501CD62BL</v>
          </cell>
          <cell r="BW156">
            <v>97</v>
          </cell>
        </row>
        <row r="157">
          <cell r="L157" t="str">
            <v>WA2501CR01BK</v>
          </cell>
          <cell r="BW157">
            <v>7</v>
          </cell>
        </row>
        <row r="158">
          <cell r="L158" t="str">
            <v>WA2501CR01BK</v>
          </cell>
          <cell r="BW158">
            <v>30</v>
          </cell>
        </row>
        <row r="159">
          <cell r="L159" t="str">
            <v>WA2501CR01BK</v>
          </cell>
          <cell r="BW159">
            <v>52</v>
          </cell>
        </row>
        <row r="160">
          <cell r="L160" t="str">
            <v>WA2501CR01BK</v>
          </cell>
          <cell r="BW160">
            <v>5</v>
          </cell>
        </row>
        <row r="161">
          <cell r="L161" t="str">
            <v>WA2501CR01BK</v>
          </cell>
          <cell r="BW161">
            <v>8</v>
          </cell>
        </row>
        <row r="162">
          <cell r="L162" t="str">
            <v>WA2501CR01BL</v>
          </cell>
          <cell r="BW162">
            <v>54</v>
          </cell>
        </row>
        <row r="163">
          <cell r="L163" t="str">
            <v>WA2501CR01BL</v>
          </cell>
          <cell r="BW163">
            <v>116</v>
          </cell>
        </row>
        <row r="164">
          <cell r="L164" t="str">
            <v>WA2501CR01BL</v>
          </cell>
          <cell r="BW164">
            <v>175</v>
          </cell>
        </row>
        <row r="165">
          <cell r="L165" t="str">
            <v>WA2501CR01BL</v>
          </cell>
          <cell r="BW165">
            <v>30</v>
          </cell>
        </row>
        <row r="166">
          <cell r="L166" t="str">
            <v>WA2501CR01GN</v>
          </cell>
          <cell r="BW166">
            <v>38</v>
          </cell>
        </row>
        <row r="167">
          <cell r="L167" t="str">
            <v>WA2501CR01GN</v>
          </cell>
          <cell r="BW167">
            <v>65</v>
          </cell>
        </row>
        <row r="168">
          <cell r="L168" t="str">
            <v>WA2501CR01GN</v>
          </cell>
          <cell r="BW168">
            <v>135</v>
          </cell>
        </row>
        <row r="169">
          <cell r="L169" t="str">
            <v>WA2501CR01GN</v>
          </cell>
          <cell r="BW169">
            <v>22</v>
          </cell>
        </row>
        <row r="170">
          <cell r="L170" t="str">
            <v>WA2501CR01GR</v>
          </cell>
          <cell r="BW170">
            <v>9</v>
          </cell>
        </row>
        <row r="171">
          <cell r="L171" t="str">
            <v>WA2501CR01GR</v>
          </cell>
          <cell r="BW171">
            <v>89</v>
          </cell>
        </row>
        <row r="172">
          <cell r="L172" t="str">
            <v>WA2501CR01GR</v>
          </cell>
          <cell r="BW172">
            <v>210</v>
          </cell>
        </row>
        <row r="173">
          <cell r="L173" t="str">
            <v>WA2501CR01GR</v>
          </cell>
          <cell r="BW173">
            <v>16</v>
          </cell>
        </row>
        <row r="174">
          <cell r="L174" t="str">
            <v>WA2501CR01GR</v>
          </cell>
          <cell r="BW174">
            <v>10</v>
          </cell>
        </row>
        <row r="175">
          <cell r="L175" t="str">
            <v>WA2501CR01LG</v>
          </cell>
          <cell r="BW175">
            <v>29</v>
          </cell>
        </row>
        <row r="176">
          <cell r="L176" t="str">
            <v>WA2501CR01LG</v>
          </cell>
          <cell r="BW176">
            <v>81</v>
          </cell>
        </row>
        <row r="177">
          <cell r="L177" t="str">
            <v>WA2501CR01LG</v>
          </cell>
          <cell r="BW177">
            <v>102</v>
          </cell>
        </row>
        <row r="178">
          <cell r="L178" t="str">
            <v>WA2501CR01LG</v>
          </cell>
          <cell r="BW178">
            <v>32</v>
          </cell>
        </row>
        <row r="179">
          <cell r="L179" t="str">
            <v>WA2501CR01LG</v>
          </cell>
          <cell r="BW179">
            <v>5</v>
          </cell>
        </row>
        <row r="180">
          <cell r="L180" t="str">
            <v>WA2501CR02GN</v>
          </cell>
          <cell r="BW180">
            <v>103</v>
          </cell>
        </row>
        <row r="181">
          <cell r="L181" t="str">
            <v>WA2501CR02GN</v>
          </cell>
          <cell r="BW181">
            <v>136</v>
          </cell>
        </row>
        <row r="182">
          <cell r="L182" t="str">
            <v>WA2501CR02GN</v>
          </cell>
          <cell r="BW182">
            <v>112</v>
          </cell>
        </row>
        <row r="183">
          <cell r="L183" t="str">
            <v>WA2501CR02GN</v>
          </cell>
          <cell r="BW183">
            <v>73</v>
          </cell>
        </row>
        <row r="184">
          <cell r="L184" t="str">
            <v>WA2501CR02LG</v>
          </cell>
          <cell r="BW184">
            <v>210</v>
          </cell>
        </row>
        <row r="185">
          <cell r="L185" t="str">
            <v>WA2501CR02LG</v>
          </cell>
          <cell r="BW185">
            <v>294</v>
          </cell>
        </row>
        <row r="186">
          <cell r="L186" t="str">
            <v>WA2501CR02LG</v>
          </cell>
          <cell r="BW186">
            <v>316</v>
          </cell>
        </row>
        <row r="187">
          <cell r="L187" t="str">
            <v>WA2501CR02LG</v>
          </cell>
          <cell r="BW187">
            <v>162</v>
          </cell>
        </row>
        <row r="188">
          <cell r="L188" t="str">
            <v>WA2501CR02NA</v>
          </cell>
          <cell r="BW188">
            <v>74</v>
          </cell>
        </row>
        <row r="189">
          <cell r="L189" t="str">
            <v>WA2501CR02NA</v>
          </cell>
          <cell r="BW189">
            <v>166</v>
          </cell>
        </row>
        <row r="190">
          <cell r="L190" t="str">
            <v>WA2501CR02NA</v>
          </cell>
          <cell r="BW190">
            <v>129</v>
          </cell>
        </row>
        <row r="191">
          <cell r="L191" t="str">
            <v>WA2501CR02NA</v>
          </cell>
          <cell r="BW191">
            <v>50</v>
          </cell>
        </row>
        <row r="192">
          <cell r="L192" t="str">
            <v>WA2501CR04BL</v>
          </cell>
          <cell r="BW192">
            <v>82</v>
          </cell>
        </row>
        <row r="193">
          <cell r="L193" t="str">
            <v>WA2501CR04BL</v>
          </cell>
          <cell r="BW193">
            <v>153</v>
          </cell>
        </row>
        <row r="194">
          <cell r="L194" t="str">
            <v>WA2501CR04BL</v>
          </cell>
          <cell r="BW194">
            <v>151</v>
          </cell>
        </row>
        <row r="195">
          <cell r="L195" t="str">
            <v>WA2501CR04BL</v>
          </cell>
          <cell r="BW195">
            <v>90</v>
          </cell>
        </row>
        <row r="196">
          <cell r="L196" t="str">
            <v>WA2501CR04CH</v>
          </cell>
          <cell r="BW196">
            <v>282</v>
          </cell>
        </row>
        <row r="197">
          <cell r="L197" t="str">
            <v>WA2501CR04CH</v>
          </cell>
          <cell r="BW197">
            <v>382</v>
          </cell>
        </row>
        <row r="198">
          <cell r="L198" t="str">
            <v>WA2501CR04CH</v>
          </cell>
          <cell r="BW198">
            <v>403</v>
          </cell>
        </row>
        <row r="199">
          <cell r="L199" t="str">
            <v>WA2501CR04CH</v>
          </cell>
          <cell r="BW199">
            <v>149</v>
          </cell>
        </row>
        <row r="200">
          <cell r="L200" t="str">
            <v>WA2501CR04CH</v>
          </cell>
          <cell r="BW200">
            <v>193</v>
          </cell>
        </row>
        <row r="201">
          <cell r="L201" t="str">
            <v>WA2501CR04GN</v>
          </cell>
          <cell r="BW201">
            <v>140</v>
          </cell>
        </row>
        <row r="202">
          <cell r="L202" t="str">
            <v>WA2501CR04GN</v>
          </cell>
          <cell r="BW202">
            <v>241</v>
          </cell>
        </row>
        <row r="203">
          <cell r="L203" t="str">
            <v>WA2501CR04GN</v>
          </cell>
          <cell r="BW203">
            <v>251</v>
          </cell>
        </row>
        <row r="204">
          <cell r="L204" t="str">
            <v>WA2501CR04GN</v>
          </cell>
          <cell r="BW204">
            <v>123</v>
          </cell>
        </row>
        <row r="205">
          <cell r="L205" t="str">
            <v>WA2501CR11CM</v>
          </cell>
          <cell r="BW205">
            <v>70</v>
          </cell>
        </row>
        <row r="206">
          <cell r="L206" t="str">
            <v>WA2501CR11CM</v>
          </cell>
          <cell r="BW206">
            <v>138</v>
          </cell>
        </row>
        <row r="207">
          <cell r="L207" t="str">
            <v>WA2501CR11CM</v>
          </cell>
          <cell r="BW207">
            <v>141</v>
          </cell>
        </row>
        <row r="208">
          <cell r="L208" t="str">
            <v>WA2501CR11CM</v>
          </cell>
          <cell r="BW208">
            <v>78</v>
          </cell>
        </row>
        <row r="209">
          <cell r="L209" t="str">
            <v>WA2501CR11LG</v>
          </cell>
          <cell r="BW209">
            <v>214</v>
          </cell>
        </row>
        <row r="210">
          <cell r="L210" t="str">
            <v>WA2501CR11LG</v>
          </cell>
          <cell r="BW210">
            <v>288</v>
          </cell>
        </row>
        <row r="211">
          <cell r="L211" t="str">
            <v>WA2501CR11LG</v>
          </cell>
          <cell r="BW211">
            <v>302</v>
          </cell>
        </row>
        <row r="212">
          <cell r="L212" t="str">
            <v>WA2501CR11LG</v>
          </cell>
          <cell r="BW212">
            <v>144</v>
          </cell>
        </row>
        <row r="213">
          <cell r="L213" t="str">
            <v>WA2501CR11PI</v>
          </cell>
          <cell r="BW213">
            <v>103</v>
          </cell>
        </row>
        <row r="214">
          <cell r="L214" t="str">
            <v>WA2501CR11PI</v>
          </cell>
          <cell r="BW214">
            <v>137</v>
          </cell>
        </row>
        <row r="215">
          <cell r="L215" t="str">
            <v>WA2501CR11PI</v>
          </cell>
          <cell r="BW215">
            <v>139</v>
          </cell>
        </row>
        <row r="216">
          <cell r="L216" t="str">
            <v>WA2501CR11PI</v>
          </cell>
          <cell r="BW216">
            <v>93</v>
          </cell>
        </row>
        <row r="217">
          <cell r="L217" t="str">
            <v>WA2501CR12LG</v>
          </cell>
          <cell r="BW217">
            <v>173</v>
          </cell>
        </row>
        <row r="218">
          <cell r="L218" t="str">
            <v>WA2501CR12LG</v>
          </cell>
          <cell r="BW218">
            <v>203</v>
          </cell>
        </row>
        <row r="219">
          <cell r="L219" t="str">
            <v>WA2501CR12LG</v>
          </cell>
          <cell r="BW219">
            <v>121</v>
          </cell>
        </row>
        <row r="220">
          <cell r="L220" t="str">
            <v>WA2501CR12LG</v>
          </cell>
          <cell r="BW220">
            <v>155</v>
          </cell>
        </row>
        <row r="221">
          <cell r="L221" t="str">
            <v>WA2501CR12NA</v>
          </cell>
          <cell r="BW221">
            <v>25</v>
          </cell>
        </row>
        <row r="222">
          <cell r="L222" t="str">
            <v>WA2501CR12NA</v>
          </cell>
          <cell r="BW222">
            <v>18</v>
          </cell>
        </row>
        <row r="223">
          <cell r="L223" t="str">
            <v>WA2501CR12NA</v>
          </cell>
          <cell r="BW223">
            <v>22</v>
          </cell>
        </row>
        <row r="224">
          <cell r="L224" t="str">
            <v>WA2501CR12NA</v>
          </cell>
          <cell r="BW224">
            <v>13</v>
          </cell>
        </row>
        <row r="225">
          <cell r="L225" t="str">
            <v>WA2501CR13GN</v>
          </cell>
          <cell r="BW225">
            <v>103</v>
          </cell>
        </row>
        <row r="226">
          <cell r="L226" t="str">
            <v>WA2501CR13GN</v>
          </cell>
          <cell r="BW226">
            <v>130</v>
          </cell>
        </row>
        <row r="227">
          <cell r="L227" t="str">
            <v>WA2501CR13GN</v>
          </cell>
          <cell r="BW227">
            <v>0</v>
          </cell>
        </row>
        <row r="228">
          <cell r="L228" t="str">
            <v>WA2501CR13GN</v>
          </cell>
          <cell r="BW228">
            <v>53</v>
          </cell>
        </row>
        <row r="229">
          <cell r="L229" t="str">
            <v>WA2501CR14OT</v>
          </cell>
          <cell r="BW229">
            <v>121</v>
          </cell>
        </row>
        <row r="230">
          <cell r="L230" t="str">
            <v>WA2501CR14OT</v>
          </cell>
          <cell r="BW230">
            <v>286</v>
          </cell>
        </row>
        <row r="231">
          <cell r="L231" t="str">
            <v>WA2501CR14OT</v>
          </cell>
          <cell r="BW231">
            <v>310</v>
          </cell>
        </row>
        <row r="232">
          <cell r="L232" t="str">
            <v>WA2501CR14OT</v>
          </cell>
          <cell r="BW232">
            <v>89</v>
          </cell>
        </row>
        <row r="233">
          <cell r="L233" t="str">
            <v>WA2501CR15CM</v>
          </cell>
          <cell r="BW233">
            <v>72</v>
          </cell>
        </row>
        <row r="234">
          <cell r="L234" t="str">
            <v>WA2501CR15CM</v>
          </cell>
          <cell r="BW234">
            <v>28</v>
          </cell>
        </row>
        <row r="235">
          <cell r="L235" t="str">
            <v>WA2501CR15CM</v>
          </cell>
          <cell r="BW235">
            <v>22</v>
          </cell>
        </row>
        <row r="236">
          <cell r="L236" t="str">
            <v>WA2501CR15CM</v>
          </cell>
          <cell r="BW236">
            <v>83</v>
          </cell>
        </row>
        <row r="237">
          <cell r="L237" t="str">
            <v>WA2501CR15GR</v>
          </cell>
          <cell r="BW237">
            <v>92</v>
          </cell>
        </row>
        <row r="238">
          <cell r="L238" t="str">
            <v>WA2501CR15GR</v>
          </cell>
          <cell r="BW238">
            <v>169</v>
          </cell>
        </row>
        <row r="239">
          <cell r="L239" t="str">
            <v>WA2501CR15GR</v>
          </cell>
          <cell r="BW239">
            <v>151</v>
          </cell>
        </row>
        <row r="240">
          <cell r="L240" t="str">
            <v>WA2501CR15GR</v>
          </cell>
          <cell r="BW240">
            <v>74</v>
          </cell>
        </row>
        <row r="241">
          <cell r="L241" t="str">
            <v>WA2501CR16BK</v>
          </cell>
          <cell r="BW241">
            <v>91</v>
          </cell>
        </row>
        <row r="242">
          <cell r="L242" t="str">
            <v>WA2501CR16BK</v>
          </cell>
          <cell r="BW242">
            <v>220</v>
          </cell>
        </row>
        <row r="243">
          <cell r="L243" t="str">
            <v>WA2501CR16BK</v>
          </cell>
          <cell r="BW243">
            <v>195</v>
          </cell>
        </row>
        <row r="244">
          <cell r="L244" t="str">
            <v>WA2501CR16BK</v>
          </cell>
          <cell r="BW244">
            <v>73</v>
          </cell>
        </row>
        <row r="245">
          <cell r="L245" t="str">
            <v>WA2501CR16LB</v>
          </cell>
          <cell r="BW245">
            <v>94</v>
          </cell>
        </row>
        <row r="246">
          <cell r="L246" t="str">
            <v>WA2501CR16LB</v>
          </cell>
          <cell r="BW246">
            <v>91</v>
          </cell>
        </row>
        <row r="247">
          <cell r="L247" t="str">
            <v>WA2501CR16LB</v>
          </cell>
          <cell r="BW247">
            <v>92</v>
          </cell>
        </row>
        <row r="248">
          <cell r="L248" t="str">
            <v>WA2501CR16LB</v>
          </cell>
          <cell r="BW248">
            <v>89</v>
          </cell>
        </row>
        <row r="249">
          <cell r="L249" t="str">
            <v>WA2501CR17BE</v>
          </cell>
          <cell r="BW249">
            <v>79</v>
          </cell>
        </row>
        <row r="250">
          <cell r="L250" t="str">
            <v>WA2501CR17BE</v>
          </cell>
          <cell r="BW250">
            <v>121</v>
          </cell>
        </row>
        <row r="251">
          <cell r="L251" t="str">
            <v>WA2501CR17BE</v>
          </cell>
          <cell r="BW251">
            <v>90</v>
          </cell>
        </row>
        <row r="252">
          <cell r="L252" t="str">
            <v>WA2501CR17BE</v>
          </cell>
          <cell r="BW252">
            <v>71</v>
          </cell>
        </row>
        <row r="253">
          <cell r="L253" t="str">
            <v>WA2501CR17CH</v>
          </cell>
          <cell r="BW253">
            <v>30</v>
          </cell>
        </row>
        <row r="254">
          <cell r="L254" t="str">
            <v>WA2501CR17CH</v>
          </cell>
          <cell r="BW254">
            <v>211</v>
          </cell>
        </row>
        <row r="255">
          <cell r="L255" t="str">
            <v>WA2501CR17CH</v>
          </cell>
          <cell r="BW255">
            <v>210</v>
          </cell>
        </row>
        <row r="256">
          <cell r="L256" t="str">
            <v>WA2501CR17CH</v>
          </cell>
          <cell r="BW256">
            <v>25</v>
          </cell>
        </row>
        <row r="257">
          <cell r="L257" t="str">
            <v>WA2501CR18BK</v>
          </cell>
          <cell r="BW257">
            <v>108</v>
          </cell>
        </row>
        <row r="258">
          <cell r="L258" t="str">
            <v>WA2501CR18BK</v>
          </cell>
          <cell r="BW258">
            <v>246</v>
          </cell>
        </row>
        <row r="259">
          <cell r="L259" t="str">
            <v>WA2501CR18BK</v>
          </cell>
          <cell r="BW259">
            <v>236</v>
          </cell>
        </row>
        <row r="260">
          <cell r="L260" t="str">
            <v>WA2501CR18BK</v>
          </cell>
          <cell r="BW260">
            <v>68</v>
          </cell>
        </row>
        <row r="261">
          <cell r="L261" t="str">
            <v>WA2501CR18BL</v>
          </cell>
          <cell r="BW261">
            <v>106</v>
          </cell>
        </row>
        <row r="262">
          <cell r="L262" t="str">
            <v>WA2501CR18BL</v>
          </cell>
          <cell r="BW262">
            <v>120</v>
          </cell>
        </row>
        <row r="263">
          <cell r="L263" t="str">
            <v>WA2501CR18BL</v>
          </cell>
          <cell r="BW263">
            <v>138</v>
          </cell>
        </row>
        <row r="264">
          <cell r="L264" t="str">
            <v>WA2501CR18BL</v>
          </cell>
          <cell r="BW264">
            <v>82</v>
          </cell>
        </row>
        <row r="265">
          <cell r="L265" t="str">
            <v>WA2501CR51MI</v>
          </cell>
          <cell r="BW265">
            <v>19</v>
          </cell>
        </row>
        <row r="266">
          <cell r="L266" t="str">
            <v>WA2501CR51MI</v>
          </cell>
          <cell r="BW266">
            <v>117</v>
          </cell>
        </row>
        <row r="267">
          <cell r="L267" t="str">
            <v>WA2501CR51MI</v>
          </cell>
          <cell r="BW267">
            <v>112</v>
          </cell>
        </row>
        <row r="268">
          <cell r="L268" t="str">
            <v>WA2501CR51OT</v>
          </cell>
          <cell r="BW268">
            <v>12</v>
          </cell>
        </row>
        <row r="269">
          <cell r="L269" t="str">
            <v>WA2501CR51OT</v>
          </cell>
          <cell r="BW269">
            <v>151</v>
          </cell>
        </row>
        <row r="270">
          <cell r="L270" t="str">
            <v>WA2501CR51OT</v>
          </cell>
          <cell r="BW270">
            <v>177</v>
          </cell>
        </row>
        <row r="271">
          <cell r="L271" t="str">
            <v>WA2501CR51PI</v>
          </cell>
          <cell r="BW271">
            <v>2</v>
          </cell>
        </row>
        <row r="272">
          <cell r="L272" t="str">
            <v>WA2501CR51PI</v>
          </cell>
          <cell r="BW272">
            <v>52</v>
          </cell>
        </row>
        <row r="273">
          <cell r="L273" t="str">
            <v>WA2501CR51PI</v>
          </cell>
          <cell r="BW273">
            <v>85</v>
          </cell>
        </row>
        <row r="274">
          <cell r="L274" t="str">
            <v>WA2501CR52CM</v>
          </cell>
          <cell r="BW274">
            <v>89</v>
          </cell>
        </row>
        <row r="275">
          <cell r="L275" t="str">
            <v>WA2501CR52CM</v>
          </cell>
          <cell r="BW275">
            <v>99</v>
          </cell>
        </row>
        <row r="276">
          <cell r="L276" t="str">
            <v>WA2501CR52DN</v>
          </cell>
          <cell r="BW276">
            <v>128</v>
          </cell>
        </row>
        <row r="277">
          <cell r="L277" t="str">
            <v>WA2501CR52DN</v>
          </cell>
          <cell r="BW277">
            <v>164</v>
          </cell>
        </row>
        <row r="278">
          <cell r="L278" t="str">
            <v>WA2501CR52LG</v>
          </cell>
          <cell r="BW278">
            <v>198</v>
          </cell>
        </row>
        <row r="279">
          <cell r="L279" t="str">
            <v>WA2501CR52LG</v>
          </cell>
          <cell r="BW279">
            <v>232</v>
          </cell>
        </row>
        <row r="280">
          <cell r="L280" t="str">
            <v>WA2501CR61CM</v>
          </cell>
          <cell r="BW280">
            <v>369</v>
          </cell>
        </row>
        <row r="281">
          <cell r="L281" t="str">
            <v>WA2501CR61CM</v>
          </cell>
          <cell r="BW281">
            <v>339</v>
          </cell>
        </row>
        <row r="282">
          <cell r="L282" t="str">
            <v>WA2501CR61LG</v>
          </cell>
          <cell r="BW282">
            <v>211</v>
          </cell>
        </row>
        <row r="283">
          <cell r="L283" t="str">
            <v>WA2501CR61LG</v>
          </cell>
          <cell r="BW283">
            <v>235</v>
          </cell>
        </row>
        <row r="284">
          <cell r="L284" t="str">
            <v>WA2501CR61PI</v>
          </cell>
          <cell r="BW284">
            <v>20</v>
          </cell>
        </row>
        <row r="285">
          <cell r="L285" t="str">
            <v>WA2501CR61PI</v>
          </cell>
          <cell r="BW285">
            <v>13</v>
          </cell>
        </row>
        <row r="286">
          <cell r="L286" t="str">
            <v>WA2501CR62TC</v>
          </cell>
          <cell r="BW286">
            <v>685</v>
          </cell>
        </row>
        <row r="287">
          <cell r="L287" t="str">
            <v>WA2501CR62TC</v>
          </cell>
          <cell r="BW287">
            <v>747</v>
          </cell>
        </row>
        <row r="288">
          <cell r="L288" t="str">
            <v>WA2501CR63GR</v>
          </cell>
          <cell r="BW288">
            <v>614</v>
          </cell>
        </row>
        <row r="289">
          <cell r="L289" t="str">
            <v>WA2501CR63LY</v>
          </cell>
          <cell r="BW289">
            <v>323</v>
          </cell>
        </row>
        <row r="290">
          <cell r="L290" t="str">
            <v>WA2501CR63MI</v>
          </cell>
          <cell r="BW290">
            <v>296</v>
          </cell>
        </row>
        <row r="291">
          <cell r="L291" t="str">
            <v>WA2501CR63SB</v>
          </cell>
          <cell r="BW291">
            <v>271</v>
          </cell>
        </row>
        <row r="292">
          <cell r="L292" t="str">
            <v>WA2501CR64CM</v>
          </cell>
          <cell r="BW292">
            <v>297</v>
          </cell>
        </row>
        <row r="293">
          <cell r="L293" t="str">
            <v>WA2501CR64CM</v>
          </cell>
          <cell r="BW293">
            <v>258</v>
          </cell>
        </row>
        <row r="294">
          <cell r="L294" t="str">
            <v>WA2501CR64SB</v>
          </cell>
          <cell r="BW294">
            <v>160</v>
          </cell>
        </row>
        <row r="295">
          <cell r="L295" t="str">
            <v>WA2501CR64SB</v>
          </cell>
          <cell r="BW295">
            <v>167</v>
          </cell>
        </row>
        <row r="296">
          <cell r="L296" t="str">
            <v>WA2501CR65DB</v>
          </cell>
          <cell r="BW296">
            <v>257</v>
          </cell>
        </row>
        <row r="297">
          <cell r="L297" t="str">
            <v>WA2501CR65LY</v>
          </cell>
          <cell r="BW297">
            <v>320</v>
          </cell>
        </row>
        <row r="298">
          <cell r="L298" t="str">
            <v>WA2501CR81OT</v>
          </cell>
          <cell r="BW298">
            <v>152</v>
          </cell>
        </row>
        <row r="299">
          <cell r="L299" t="str">
            <v>WA2501CR81OT</v>
          </cell>
          <cell r="BW299">
            <v>118</v>
          </cell>
        </row>
        <row r="300">
          <cell r="L300" t="str">
            <v>WA2501CR81OT</v>
          </cell>
          <cell r="BW300">
            <v>232</v>
          </cell>
        </row>
        <row r="301">
          <cell r="L301" t="str">
            <v>WA2501CR82CM</v>
          </cell>
          <cell r="BW301">
            <v>95</v>
          </cell>
        </row>
        <row r="302">
          <cell r="L302" t="str">
            <v>WA2501CR82CM</v>
          </cell>
          <cell r="BW302">
            <v>59</v>
          </cell>
        </row>
        <row r="303">
          <cell r="L303" t="str">
            <v>WA2501CR82CM</v>
          </cell>
          <cell r="BW303">
            <v>159</v>
          </cell>
        </row>
        <row r="304">
          <cell r="L304" t="str">
            <v>WA2501CR82GR</v>
          </cell>
          <cell r="BW304">
            <v>109</v>
          </cell>
        </row>
        <row r="305">
          <cell r="L305" t="str">
            <v>WA2501CR82GR</v>
          </cell>
          <cell r="BW305">
            <v>67</v>
          </cell>
        </row>
        <row r="306">
          <cell r="L306" t="str">
            <v>WA2501CR82GR</v>
          </cell>
          <cell r="BW306">
            <v>176</v>
          </cell>
        </row>
        <row r="307">
          <cell r="L307" t="str">
            <v>WA2501CR83BK</v>
          </cell>
          <cell r="BW307">
            <v>99</v>
          </cell>
        </row>
        <row r="308">
          <cell r="L308" t="str">
            <v>WA2501CR83BK</v>
          </cell>
          <cell r="BW308">
            <v>60</v>
          </cell>
        </row>
        <row r="309">
          <cell r="L309" t="str">
            <v>WA2501CR83BK</v>
          </cell>
          <cell r="BW309">
            <v>166</v>
          </cell>
        </row>
        <row r="310">
          <cell r="L310" t="str">
            <v>WA2501CR83LB</v>
          </cell>
          <cell r="BW310">
            <v>112</v>
          </cell>
        </row>
        <row r="311">
          <cell r="L311" t="str">
            <v>WA2501CR83LB</v>
          </cell>
          <cell r="BW311">
            <v>55</v>
          </cell>
        </row>
        <row r="312">
          <cell r="L312" t="str">
            <v>WA2501CR83LB</v>
          </cell>
          <cell r="BW312">
            <v>164</v>
          </cell>
        </row>
        <row r="313">
          <cell r="L313" t="str">
            <v>WA2501CRM1LG</v>
          </cell>
          <cell r="BW313">
            <v>51</v>
          </cell>
        </row>
        <row r="314">
          <cell r="L314" t="str">
            <v>WA2501CRM1LG</v>
          </cell>
          <cell r="BW314">
            <v>42</v>
          </cell>
        </row>
        <row r="315">
          <cell r="L315" t="str">
            <v>WA2501CRM1NA</v>
          </cell>
          <cell r="BW315">
            <v>48</v>
          </cell>
        </row>
        <row r="316">
          <cell r="L316" t="str">
            <v>WA2501CRM1NA</v>
          </cell>
          <cell r="BW316">
            <v>63</v>
          </cell>
        </row>
        <row r="317">
          <cell r="L317" t="str">
            <v>WA2501CRM2LY</v>
          </cell>
          <cell r="BW317">
            <v>91</v>
          </cell>
        </row>
        <row r="318">
          <cell r="L318" t="str">
            <v>WA2501CRM2LY</v>
          </cell>
          <cell r="BW318">
            <v>91</v>
          </cell>
        </row>
        <row r="319">
          <cell r="L319" t="str">
            <v>WA2501CRM2MI</v>
          </cell>
          <cell r="BW319">
            <v>99</v>
          </cell>
        </row>
        <row r="320">
          <cell r="L320" t="str">
            <v>WA2501CRM2MI</v>
          </cell>
          <cell r="BW320">
            <v>102</v>
          </cell>
        </row>
        <row r="321">
          <cell r="L321" t="str">
            <v>WA2501CRM3CH</v>
          </cell>
          <cell r="BW321">
            <v>50</v>
          </cell>
        </row>
        <row r="322">
          <cell r="L322" t="str">
            <v>WA2501CRM3CH</v>
          </cell>
          <cell r="BW322">
            <v>70</v>
          </cell>
        </row>
        <row r="323">
          <cell r="L323" t="str">
            <v>WA2501CRM3EC</v>
          </cell>
          <cell r="BW323">
            <v>70</v>
          </cell>
        </row>
        <row r="324">
          <cell r="L324" t="str">
            <v>WA2501CRM3EC</v>
          </cell>
          <cell r="BW324">
            <v>80</v>
          </cell>
        </row>
        <row r="325">
          <cell r="L325" t="str">
            <v>WA2501EC01BK</v>
          </cell>
          <cell r="BW325">
            <v>829</v>
          </cell>
        </row>
        <row r="326">
          <cell r="L326" t="str">
            <v>WA2501EC01BL</v>
          </cell>
          <cell r="BW326">
            <v>694</v>
          </cell>
        </row>
        <row r="327">
          <cell r="L327" t="str">
            <v>WA2501EC01BR</v>
          </cell>
          <cell r="BW327">
            <v>819</v>
          </cell>
        </row>
        <row r="328">
          <cell r="L328" t="str">
            <v>WA2501EC01GN</v>
          </cell>
          <cell r="BW328">
            <v>780</v>
          </cell>
        </row>
        <row r="329">
          <cell r="L329" t="str">
            <v>WA2501EC01IV</v>
          </cell>
          <cell r="BW329">
            <v>792</v>
          </cell>
        </row>
        <row r="330">
          <cell r="L330" t="str">
            <v>WA2501EC02BK</v>
          </cell>
          <cell r="BW330">
            <v>183</v>
          </cell>
        </row>
        <row r="331">
          <cell r="L331" t="str">
            <v>WA2501EC02IV</v>
          </cell>
          <cell r="BW331">
            <v>309</v>
          </cell>
        </row>
        <row r="332">
          <cell r="L332" t="str">
            <v>WA2501EC03IV</v>
          </cell>
          <cell r="BW332">
            <v>982</v>
          </cell>
        </row>
        <row r="333">
          <cell r="L333" t="str">
            <v>WA2501EC03NA</v>
          </cell>
          <cell r="BW333">
            <v>878</v>
          </cell>
        </row>
        <row r="334">
          <cell r="L334" t="str">
            <v>WA2501EC04WH</v>
          </cell>
          <cell r="BW334">
            <v>175</v>
          </cell>
        </row>
        <row r="335">
          <cell r="L335" t="str">
            <v>WA2501HD01BK</v>
          </cell>
          <cell r="BW335">
            <v>27</v>
          </cell>
        </row>
        <row r="336">
          <cell r="L336" t="str">
            <v>WA2501HD01BK</v>
          </cell>
          <cell r="BW336">
            <v>63</v>
          </cell>
        </row>
        <row r="337">
          <cell r="L337" t="str">
            <v>WA2501HD01BK</v>
          </cell>
          <cell r="BW337">
            <v>115</v>
          </cell>
        </row>
        <row r="338">
          <cell r="L338" t="str">
            <v>WA2501HD01BK</v>
          </cell>
          <cell r="BW338">
            <v>3</v>
          </cell>
        </row>
        <row r="339">
          <cell r="L339" t="str">
            <v>WA2501HD01BL</v>
          </cell>
          <cell r="BW339">
            <v>96</v>
          </cell>
        </row>
        <row r="340">
          <cell r="L340" t="str">
            <v>WA2501HD01BL</v>
          </cell>
          <cell r="BW340">
            <v>137</v>
          </cell>
        </row>
        <row r="341">
          <cell r="L341" t="str">
            <v>WA2501HD01BL</v>
          </cell>
          <cell r="BW341">
            <v>154</v>
          </cell>
        </row>
        <row r="342">
          <cell r="L342" t="str">
            <v>WA2501HD01BL</v>
          </cell>
          <cell r="BW342">
            <v>83</v>
          </cell>
        </row>
        <row r="343">
          <cell r="L343" t="str">
            <v>WA2501HD01CM</v>
          </cell>
          <cell r="BW343">
            <v>56</v>
          </cell>
        </row>
        <row r="344">
          <cell r="L344" t="str">
            <v>WA2501HD01CM</v>
          </cell>
          <cell r="BW344">
            <v>92</v>
          </cell>
        </row>
        <row r="345">
          <cell r="L345" t="str">
            <v>WA2501HD01CM</v>
          </cell>
          <cell r="BW345">
            <v>71</v>
          </cell>
        </row>
        <row r="346">
          <cell r="L346" t="str">
            <v>WA2501HD01CM</v>
          </cell>
          <cell r="BW346">
            <v>37</v>
          </cell>
        </row>
        <row r="347">
          <cell r="L347" t="str">
            <v>WA2501HD01LG</v>
          </cell>
          <cell r="BW347">
            <v>167</v>
          </cell>
        </row>
        <row r="348">
          <cell r="L348" t="str">
            <v>WA2501HD01LG</v>
          </cell>
          <cell r="BW348">
            <v>98</v>
          </cell>
        </row>
        <row r="349">
          <cell r="L349" t="str">
            <v>WA2501HD01LG</v>
          </cell>
          <cell r="BW349">
            <v>206</v>
          </cell>
        </row>
        <row r="350">
          <cell r="L350" t="str">
            <v>WA2501HD01LG</v>
          </cell>
          <cell r="BW350">
            <v>87</v>
          </cell>
        </row>
        <row r="351">
          <cell r="L351" t="str">
            <v>WA2501HD01LG</v>
          </cell>
          <cell r="BW351">
            <v>24</v>
          </cell>
        </row>
        <row r="352">
          <cell r="L352" t="str">
            <v>WA2501HD11BK</v>
          </cell>
          <cell r="BW352">
            <v>173</v>
          </cell>
        </row>
        <row r="353">
          <cell r="L353" t="str">
            <v>WA2501HD11BK</v>
          </cell>
          <cell r="BW353">
            <v>269</v>
          </cell>
        </row>
        <row r="354">
          <cell r="L354" t="str">
            <v>WA2501HD11BK</v>
          </cell>
          <cell r="BW354">
            <v>336</v>
          </cell>
        </row>
        <row r="355">
          <cell r="L355" t="str">
            <v>WA2501HD11BK</v>
          </cell>
          <cell r="BW355">
            <v>111</v>
          </cell>
        </row>
        <row r="356">
          <cell r="L356" t="str">
            <v>WA2501HD11GN</v>
          </cell>
          <cell r="BW356">
            <v>94</v>
          </cell>
        </row>
        <row r="357">
          <cell r="L357" t="str">
            <v>WA2501HD11GN</v>
          </cell>
          <cell r="BW357">
            <v>146</v>
          </cell>
        </row>
        <row r="358">
          <cell r="L358" t="str">
            <v>WA2501HD11GN</v>
          </cell>
          <cell r="BW358">
            <v>133</v>
          </cell>
        </row>
        <row r="359">
          <cell r="L359" t="str">
            <v>WA2501HD11GN</v>
          </cell>
          <cell r="BW359">
            <v>76</v>
          </cell>
        </row>
        <row r="360">
          <cell r="L360" t="str">
            <v>WA2501HD11LK</v>
          </cell>
          <cell r="BW360">
            <v>130</v>
          </cell>
        </row>
        <row r="361">
          <cell r="L361" t="str">
            <v>WA2501HD11LK</v>
          </cell>
          <cell r="BW361">
            <v>168</v>
          </cell>
        </row>
        <row r="362">
          <cell r="L362" t="str">
            <v>WA2501HD11LK</v>
          </cell>
          <cell r="BW362">
            <v>209</v>
          </cell>
        </row>
        <row r="363">
          <cell r="L363" t="str">
            <v>WA2501HD11LK</v>
          </cell>
          <cell r="BW363">
            <v>89</v>
          </cell>
        </row>
        <row r="364">
          <cell r="L364" t="str">
            <v>WA2501HD12BK</v>
          </cell>
          <cell r="BW364">
            <v>156</v>
          </cell>
        </row>
        <row r="365">
          <cell r="L365" t="str">
            <v>WA2501HD12BK</v>
          </cell>
          <cell r="BW365">
            <v>210</v>
          </cell>
        </row>
        <row r="366">
          <cell r="L366" t="str">
            <v>WA2501HD12BK</v>
          </cell>
          <cell r="BW366">
            <v>315</v>
          </cell>
        </row>
        <row r="367">
          <cell r="L367" t="str">
            <v>WA2501HD12BK</v>
          </cell>
          <cell r="BW367">
            <v>101</v>
          </cell>
        </row>
        <row r="368">
          <cell r="L368" t="str">
            <v>WA2501HD12BL</v>
          </cell>
          <cell r="BW368">
            <v>133</v>
          </cell>
        </row>
        <row r="369">
          <cell r="L369" t="str">
            <v>WA2501HD12BL</v>
          </cell>
          <cell r="BW369">
            <v>169</v>
          </cell>
        </row>
        <row r="370">
          <cell r="L370" t="str">
            <v>WA2501HD12BL</v>
          </cell>
          <cell r="BW370">
            <v>180</v>
          </cell>
        </row>
        <row r="371">
          <cell r="L371" t="str">
            <v>WA2501HD12BL</v>
          </cell>
          <cell r="BW371">
            <v>69</v>
          </cell>
        </row>
        <row r="372">
          <cell r="L372" t="str">
            <v>WA2501HD13BL</v>
          </cell>
          <cell r="BW372">
            <v>124</v>
          </cell>
        </row>
        <row r="373">
          <cell r="L373" t="str">
            <v>WA2501HD13BL</v>
          </cell>
          <cell r="BW373">
            <v>177</v>
          </cell>
        </row>
        <row r="374">
          <cell r="L374" t="str">
            <v>WA2501HD13BL</v>
          </cell>
          <cell r="BW374">
            <v>220</v>
          </cell>
        </row>
        <row r="375">
          <cell r="L375" t="str">
            <v>WA2501HD13BL</v>
          </cell>
          <cell r="BW375">
            <v>77</v>
          </cell>
        </row>
        <row r="376">
          <cell r="L376" t="str">
            <v>WA2501HD13WH</v>
          </cell>
          <cell r="BW376">
            <v>26</v>
          </cell>
        </row>
        <row r="377">
          <cell r="L377" t="str">
            <v>WA2501HD13WH</v>
          </cell>
          <cell r="BW377">
            <v>26</v>
          </cell>
        </row>
        <row r="378">
          <cell r="L378" t="str">
            <v>WA2501HD13WH</v>
          </cell>
          <cell r="BW378">
            <v>78</v>
          </cell>
        </row>
        <row r="379">
          <cell r="L379" t="str">
            <v>WA2501HD13WH</v>
          </cell>
          <cell r="BW379">
            <v>25</v>
          </cell>
        </row>
        <row r="380">
          <cell r="L380" t="str">
            <v>WA2501HD14GN</v>
          </cell>
          <cell r="BW380">
            <v>146</v>
          </cell>
        </row>
        <row r="381">
          <cell r="L381" t="str">
            <v>WA2501HD14GN</v>
          </cell>
          <cell r="BW381">
            <v>213</v>
          </cell>
        </row>
        <row r="382">
          <cell r="L382" t="str">
            <v>WA2501HD14GN</v>
          </cell>
          <cell r="BW382">
            <v>278</v>
          </cell>
        </row>
        <row r="383">
          <cell r="L383" t="str">
            <v>WA2501HD14GN</v>
          </cell>
          <cell r="BW383">
            <v>92</v>
          </cell>
        </row>
        <row r="384">
          <cell r="L384" t="str">
            <v>WA2501HD14GR</v>
          </cell>
          <cell r="BW384">
            <v>179</v>
          </cell>
        </row>
        <row r="385">
          <cell r="L385" t="str">
            <v>WA2501HD14GR</v>
          </cell>
          <cell r="BW385">
            <v>229</v>
          </cell>
        </row>
        <row r="386">
          <cell r="L386" t="str">
            <v>WA2501HD14GR</v>
          </cell>
          <cell r="BW386">
            <v>334</v>
          </cell>
        </row>
        <row r="387">
          <cell r="L387" t="str">
            <v>WA2501HD14GR</v>
          </cell>
          <cell r="BW387">
            <v>118</v>
          </cell>
        </row>
        <row r="388">
          <cell r="L388" t="str">
            <v>WA2501HD15GN</v>
          </cell>
          <cell r="BW388">
            <v>71</v>
          </cell>
        </row>
        <row r="389">
          <cell r="L389" t="str">
            <v>WA2501HD15GN</v>
          </cell>
          <cell r="BW389">
            <v>116</v>
          </cell>
        </row>
        <row r="390">
          <cell r="L390" t="str">
            <v>WA2501HD15GN</v>
          </cell>
          <cell r="BW390">
            <v>173</v>
          </cell>
        </row>
        <row r="391">
          <cell r="L391" t="str">
            <v>WA2501HD15GN</v>
          </cell>
          <cell r="BW391">
            <v>19</v>
          </cell>
        </row>
        <row r="392">
          <cell r="L392" t="str">
            <v>WA2501HD15GR</v>
          </cell>
          <cell r="BW392">
            <v>79</v>
          </cell>
        </row>
        <row r="393">
          <cell r="L393" t="str">
            <v>WA2501HD15GR</v>
          </cell>
          <cell r="BW393">
            <v>124</v>
          </cell>
        </row>
        <row r="394">
          <cell r="L394" t="str">
            <v>WA2501HD15GR</v>
          </cell>
          <cell r="BW394">
            <v>221</v>
          </cell>
        </row>
        <row r="395">
          <cell r="L395" t="str">
            <v>WA2501HD15GR</v>
          </cell>
          <cell r="BW395">
            <v>36</v>
          </cell>
        </row>
        <row r="396">
          <cell r="L396" t="str">
            <v>WA2501HD15PU</v>
          </cell>
          <cell r="BW396">
            <v>83</v>
          </cell>
        </row>
        <row r="397">
          <cell r="L397" t="str">
            <v>WA2501HD15PU</v>
          </cell>
          <cell r="BW397">
            <v>103</v>
          </cell>
        </row>
        <row r="398">
          <cell r="L398" t="str">
            <v>WA2501HD15PU</v>
          </cell>
          <cell r="BW398">
            <v>103</v>
          </cell>
        </row>
        <row r="399">
          <cell r="L399" t="str">
            <v>WA2501HD15PU</v>
          </cell>
          <cell r="BW399">
            <v>38</v>
          </cell>
        </row>
        <row r="400">
          <cell r="L400" t="str">
            <v>WA2501HD16BL</v>
          </cell>
          <cell r="BW400">
            <v>151</v>
          </cell>
        </row>
        <row r="401">
          <cell r="L401" t="str">
            <v>WA2501HD16BL</v>
          </cell>
          <cell r="BW401">
            <v>202</v>
          </cell>
        </row>
        <row r="402">
          <cell r="L402" t="str">
            <v>WA2501HD16BL</v>
          </cell>
          <cell r="BW402">
            <v>273</v>
          </cell>
        </row>
        <row r="403">
          <cell r="L403" t="str">
            <v>WA2501HD16BL</v>
          </cell>
          <cell r="BW403">
            <v>92</v>
          </cell>
        </row>
        <row r="404">
          <cell r="L404" t="str">
            <v>WA2501HD16CH</v>
          </cell>
          <cell r="BW404">
            <v>142</v>
          </cell>
        </row>
        <row r="405">
          <cell r="L405" t="str">
            <v>WA2501HD16CH</v>
          </cell>
          <cell r="BW405">
            <v>283</v>
          </cell>
        </row>
        <row r="406">
          <cell r="L406" t="str">
            <v>WA2501HD16CH</v>
          </cell>
          <cell r="BW406">
            <v>475</v>
          </cell>
        </row>
        <row r="407">
          <cell r="L407" t="str">
            <v>WA2501HD16CH</v>
          </cell>
          <cell r="BW407">
            <v>49</v>
          </cell>
        </row>
        <row r="408">
          <cell r="L408" t="str">
            <v>WA2501HD17BK</v>
          </cell>
          <cell r="BW408">
            <v>134</v>
          </cell>
        </row>
        <row r="409">
          <cell r="L409" t="str">
            <v>WA2501HD17BK</v>
          </cell>
          <cell r="BW409">
            <v>204</v>
          </cell>
        </row>
        <row r="410">
          <cell r="L410" t="str">
            <v>WA2501HD17BK</v>
          </cell>
          <cell r="BW410">
            <v>266</v>
          </cell>
        </row>
        <row r="411">
          <cell r="L411" t="str">
            <v>WA2501HD17BK</v>
          </cell>
          <cell r="BW411">
            <v>88</v>
          </cell>
        </row>
        <row r="412">
          <cell r="L412" t="str">
            <v>WA2501HD17LG</v>
          </cell>
          <cell r="BW412">
            <v>231</v>
          </cell>
        </row>
        <row r="413">
          <cell r="L413" t="str">
            <v>WA2501HD17LG</v>
          </cell>
          <cell r="BW413">
            <v>342</v>
          </cell>
        </row>
        <row r="414">
          <cell r="L414" t="str">
            <v>WA2501HD17LG</v>
          </cell>
          <cell r="BW414">
            <v>375</v>
          </cell>
        </row>
        <row r="415">
          <cell r="L415" t="str">
            <v>WA2501HD17LG</v>
          </cell>
          <cell r="BW415">
            <v>143</v>
          </cell>
        </row>
        <row r="416">
          <cell r="L416" t="str">
            <v>WA2501HD51CM</v>
          </cell>
          <cell r="BW416">
            <v>4</v>
          </cell>
        </row>
        <row r="417">
          <cell r="L417" t="str">
            <v>WA2501HD51CM</v>
          </cell>
          <cell r="BW417">
            <v>27</v>
          </cell>
        </row>
        <row r="418">
          <cell r="L418" t="str">
            <v>WA2501HD51CM</v>
          </cell>
          <cell r="BW418">
            <v>42</v>
          </cell>
        </row>
        <row r="419">
          <cell r="L419" t="str">
            <v>WA2501HD51LG</v>
          </cell>
          <cell r="BW419">
            <v>4</v>
          </cell>
        </row>
        <row r="420">
          <cell r="L420" t="str">
            <v>WA2501HD51LG</v>
          </cell>
          <cell r="BW420">
            <v>139</v>
          </cell>
        </row>
        <row r="421">
          <cell r="L421" t="str">
            <v>WA2501HD51LG</v>
          </cell>
          <cell r="BW421">
            <v>223</v>
          </cell>
        </row>
        <row r="422">
          <cell r="L422" t="str">
            <v>WA2501HD51PI</v>
          </cell>
          <cell r="BW422">
            <v>0</v>
          </cell>
        </row>
        <row r="423">
          <cell r="L423" t="str">
            <v>WA2501HD51PI</v>
          </cell>
          <cell r="BW423">
            <v>20</v>
          </cell>
        </row>
        <row r="424">
          <cell r="L424" t="str">
            <v>WA2501HD51PI</v>
          </cell>
          <cell r="BW424">
            <v>24</v>
          </cell>
        </row>
        <row r="425">
          <cell r="L425" t="str">
            <v>WA2501HD61CH</v>
          </cell>
          <cell r="BW425">
            <v>247</v>
          </cell>
        </row>
        <row r="426">
          <cell r="L426" t="str">
            <v>WA2501HD61OT</v>
          </cell>
          <cell r="BW426">
            <v>481</v>
          </cell>
        </row>
        <row r="427">
          <cell r="L427" t="str">
            <v>WA2501HD62CM</v>
          </cell>
          <cell r="BW427">
            <v>265</v>
          </cell>
        </row>
        <row r="428">
          <cell r="L428" t="str">
            <v>WA2501HD62OT</v>
          </cell>
          <cell r="BW428">
            <v>292</v>
          </cell>
        </row>
        <row r="429">
          <cell r="L429" t="str">
            <v>WA2501HD63TC</v>
          </cell>
          <cell r="BW429">
            <v>445</v>
          </cell>
        </row>
        <row r="430">
          <cell r="L430" t="str">
            <v>WA2501HDM1BL</v>
          </cell>
          <cell r="BW430">
            <v>82</v>
          </cell>
        </row>
        <row r="431">
          <cell r="L431" t="str">
            <v>WA2501HDM1BL</v>
          </cell>
          <cell r="BW431">
            <v>93</v>
          </cell>
        </row>
        <row r="432">
          <cell r="L432" t="str">
            <v>WA2501HDM1GR</v>
          </cell>
          <cell r="BW432">
            <v>81</v>
          </cell>
        </row>
        <row r="433">
          <cell r="L433" t="str">
            <v>WA2501HDM1GR</v>
          </cell>
          <cell r="BW433">
            <v>85</v>
          </cell>
        </row>
        <row r="434">
          <cell r="L434" t="str">
            <v>WA2501HZ01BK</v>
          </cell>
          <cell r="BW434">
            <v>37</v>
          </cell>
        </row>
        <row r="435">
          <cell r="L435" t="str">
            <v>WA2501HZ01BK</v>
          </cell>
          <cell r="BW435">
            <v>59</v>
          </cell>
        </row>
        <row r="436">
          <cell r="L436" t="str">
            <v>WA2501HZ01BK</v>
          </cell>
          <cell r="BW436">
            <v>395</v>
          </cell>
        </row>
        <row r="437">
          <cell r="L437" t="str">
            <v>WA2501HZ01BK</v>
          </cell>
          <cell r="BW437">
            <v>21</v>
          </cell>
        </row>
        <row r="438">
          <cell r="L438" t="str">
            <v>WA2501HZ01BK</v>
          </cell>
          <cell r="BW438">
            <v>14</v>
          </cell>
        </row>
        <row r="439">
          <cell r="L439" t="str">
            <v>WA2501HZ01GN</v>
          </cell>
          <cell r="BW439">
            <v>42</v>
          </cell>
        </row>
        <row r="440">
          <cell r="L440" t="str">
            <v>WA2501HZ01GN</v>
          </cell>
          <cell r="BW440">
            <v>64</v>
          </cell>
        </row>
        <row r="441">
          <cell r="L441" t="str">
            <v>WA2501HZ01GN</v>
          </cell>
          <cell r="BW441">
            <v>128</v>
          </cell>
        </row>
        <row r="442">
          <cell r="L442" t="str">
            <v>WA2501HZ01GN</v>
          </cell>
          <cell r="BW442">
            <v>19</v>
          </cell>
        </row>
        <row r="443">
          <cell r="L443" t="str">
            <v>WA2501HZ01GR</v>
          </cell>
          <cell r="BW443">
            <v>29</v>
          </cell>
        </row>
        <row r="444">
          <cell r="L444" t="str">
            <v>WA2501HZ01GR</v>
          </cell>
          <cell r="BW444">
            <v>29</v>
          </cell>
        </row>
        <row r="445">
          <cell r="L445" t="str">
            <v>WA2501HZ01GR</v>
          </cell>
          <cell r="BW445">
            <v>228</v>
          </cell>
        </row>
        <row r="446">
          <cell r="L446" t="str">
            <v>WA2501HZ01GR</v>
          </cell>
          <cell r="BW446">
            <v>26</v>
          </cell>
        </row>
        <row r="447">
          <cell r="L447" t="str">
            <v>WA2501HZ01GR</v>
          </cell>
          <cell r="BW447">
            <v>10</v>
          </cell>
        </row>
        <row r="448">
          <cell r="L448" t="str">
            <v>WA2501HZ01LG</v>
          </cell>
          <cell r="BW448">
            <v>246</v>
          </cell>
        </row>
        <row r="449">
          <cell r="L449" t="str">
            <v>WA2501HZ01LG</v>
          </cell>
          <cell r="BW449">
            <v>137</v>
          </cell>
        </row>
        <row r="450">
          <cell r="L450" t="str">
            <v>WA2501HZ01LG</v>
          </cell>
          <cell r="BW450">
            <v>291</v>
          </cell>
        </row>
        <row r="451">
          <cell r="L451" t="str">
            <v>WA2501HZ01LG</v>
          </cell>
          <cell r="BW451">
            <v>310</v>
          </cell>
        </row>
        <row r="452">
          <cell r="L452" t="str">
            <v>WA2501HZ01LG</v>
          </cell>
          <cell r="BW452">
            <v>7</v>
          </cell>
        </row>
        <row r="453">
          <cell r="L453" t="str">
            <v>WA2501HZ11BK</v>
          </cell>
          <cell r="BW453">
            <v>73</v>
          </cell>
        </row>
        <row r="454">
          <cell r="L454" t="str">
            <v>WA2501HZ11BK</v>
          </cell>
          <cell r="BW454">
            <v>176</v>
          </cell>
        </row>
        <row r="455">
          <cell r="L455" t="str">
            <v>WA2501HZ11BK</v>
          </cell>
          <cell r="BW455">
            <v>264</v>
          </cell>
        </row>
        <row r="456">
          <cell r="L456" t="str">
            <v>WA2501HZ11BK</v>
          </cell>
          <cell r="BW456">
            <v>36</v>
          </cell>
        </row>
        <row r="457">
          <cell r="L457" t="str">
            <v>WA2501HZ11BL</v>
          </cell>
          <cell r="BW457">
            <v>120</v>
          </cell>
        </row>
        <row r="458">
          <cell r="L458" t="str">
            <v>WA2501HZ11BL</v>
          </cell>
          <cell r="BW458">
            <v>172</v>
          </cell>
        </row>
        <row r="459">
          <cell r="L459" t="str">
            <v>WA2501HZ11BL</v>
          </cell>
          <cell r="BW459">
            <v>211</v>
          </cell>
        </row>
        <row r="460">
          <cell r="L460" t="str">
            <v>WA2501HZ11BL</v>
          </cell>
          <cell r="BW460">
            <v>57</v>
          </cell>
        </row>
        <row r="461">
          <cell r="L461" t="str">
            <v>WA2501HZ11GR</v>
          </cell>
          <cell r="BW461">
            <v>59</v>
          </cell>
        </row>
        <row r="462">
          <cell r="L462" t="str">
            <v>WA2501HZ11GR</v>
          </cell>
          <cell r="BW462">
            <v>67</v>
          </cell>
        </row>
        <row r="463">
          <cell r="L463" t="str">
            <v>WA2501HZ11GR</v>
          </cell>
          <cell r="BW463">
            <v>135</v>
          </cell>
        </row>
        <row r="464">
          <cell r="L464" t="str">
            <v>WA2501HZ11GR</v>
          </cell>
          <cell r="BW464">
            <v>30</v>
          </cell>
        </row>
        <row r="465">
          <cell r="L465" t="str">
            <v>WA2501HZ12BE</v>
          </cell>
          <cell r="BW465">
            <v>100</v>
          </cell>
        </row>
        <row r="466">
          <cell r="L466" t="str">
            <v>WA2501HZ12BE</v>
          </cell>
          <cell r="BW466">
            <v>128</v>
          </cell>
        </row>
        <row r="467">
          <cell r="L467" t="str">
            <v>WA2501HZ12BE</v>
          </cell>
          <cell r="BW467">
            <v>196</v>
          </cell>
        </row>
        <row r="468">
          <cell r="L468" t="str">
            <v>WA2501HZ12BE</v>
          </cell>
          <cell r="BW468">
            <v>61</v>
          </cell>
        </row>
        <row r="469">
          <cell r="L469" t="str">
            <v>WA2501HZ12NA</v>
          </cell>
          <cell r="BW469">
            <v>45</v>
          </cell>
        </row>
        <row r="470">
          <cell r="L470" t="str">
            <v>WA2501HZ12NA</v>
          </cell>
          <cell r="BW470">
            <v>55</v>
          </cell>
        </row>
        <row r="471">
          <cell r="L471" t="str">
            <v>WA2501HZ12NA</v>
          </cell>
          <cell r="BW471">
            <v>152</v>
          </cell>
        </row>
        <row r="472">
          <cell r="L472" t="str">
            <v>WA2501HZ12NA</v>
          </cell>
          <cell r="BW472">
            <v>55</v>
          </cell>
        </row>
        <row r="473">
          <cell r="L473" t="str">
            <v>WA2501HZ13BE</v>
          </cell>
          <cell r="BW473">
            <v>176</v>
          </cell>
        </row>
        <row r="474">
          <cell r="L474" t="str">
            <v>WA2501HZ13BE</v>
          </cell>
          <cell r="BW474">
            <v>261</v>
          </cell>
        </row>
        <row r="475">
          <cell r="L475" t="str">
            <v>WA2501HZ13BE</v>
          </cell>
          <cell r="BW475">
            <v>266</v>
          </cell>
        </row>
        <row r="476">
          <cell r="L476" t="str">
            <v>WA2501HZ13BE</v>
          </cell>
          <cell r="BW476">
            <v>91</v>
          </cell>
        </row>
        <row r="477">
          <cell r="L477" t="str">
            <v>WA2501HZ13BL</v>
          </cell>
          <cell r="BW477">
            <v>117</v>
          </cell>
        </row>
        <row r="478">
          <cell r="L478" t="str">
            <v>WA2501HZ13BL</v>
          </cell>
          <cell r="BW478">
            <v>196</v>
          </cell>
        </row>
        <row r="479">
          <cell r="L479" t="str">
            <v>WA2501HZ13BL</v>
          </cell>
          <cell r="BW479">
            <v>216</v>
          </cell>
        </row>
        <row r="480">
          <cell r="L480" t="str">
            <v>WA2501HZ13BL</v>
          </cell>
          <cell r="BW480">
            <v>87</v>
          </cell>
        </row>
        <row r="481">
          <cell r="L481" t="str">
            <v>WA2501HZ13CH</v>
          </cell>
          <cell r="BW481">
            <v>10</v>
          </cell>
        </row>
        <row r="482">
          <cell r="L482" t="str">
            <v>WA2501HZ13CH</v>
          </cell>
          <cell r="BW482">
            <v>31</v>
          </cell>
        </row>
        <row r="483">
          <cell r="L483" t="str">
            <v>WA2501HZ13CH</v>
          </cell>
          <cell r="BW483">
            <v>378</v>
          </cell>
        </row>
        <row r="484">
          <cell r="L484" t="str">
            <v>WA2501HZ13CH</v>
          </cell>
          <cell r="BW484">
            <v>7</v>
          </cell>
        </row>
        <row r="485">
          <cell r="L485" t="str">
            <v>WA2501HZ13CH</v>
          </cell>
          <cell r="BW485">
            <v>130</v>
          </cell>
        </row>
        <row r="486">
          <cell r="L486" t="str">
            <v>WA2501HZ14BK</v>
          </cell>
          <cell r="BW486">
            <v>86</v>
          </cell>
        </row>
        <row r="487">
          <cell r="L487" t="str">
            <v>WA2501HZ14BK</v>
          </cell>
          <cell r="BW487">
            <v>162</v>
          </cell>
        </row>
        <row r="488">
          <cell r="L488" t="str">
            <v>WA2501HZ14BK</v>
          </cell>
          <cell r="BW488">
            <v>234</v>
          </cell>
        </row>
        <row r="489">
          <cell r="L489" t="str">
            <v>WA2501HZ14BK</v>
          </cell>
          <cell r="BW489">
            <v>11</v>
          </cell>
        </row>
        <row r="490">
          <cell r="L490" t="str">
            <v>WA2501HZ14CM</v>
          </cell>
          <cell r="BW490">
            <v>86</v>
          </cell>
        </row>
        <row r="491">
          <cell r="L491" t="str">
            <v>WA2501HZ14CM</v>
          </cell>
          <cell r="BW491">
            <v>142</v>
          </cell>
        </row>
        <row r="492">
          <cell r="L492" t="str">
            <v>WA2501HZ14CM</v>
          </cell>
          <cell r="BW492">
            <v>134</v>
          </cell>
        </row>
        <row r="493">
          <cell r="L493" t="str">
            <v>WA2501HZ14CM</v>
          </cell>
          <cell r="BW493">
            <v>70</v>
          </cell>
        </row>
        <row r="494">
          <cell r="L494" t="str">
            <v>WA2501HZ15BK</v>
          </cell>
          <cell r="BW494">
            <v>8</v>
          </cell>
        </row>
        <row r="495">
          <cell r="L495" t="str">
            <v>WA2501HZ15BK</v>
          </cell>
          <cell r="BW495">
            <v>11</v>
          </cell>
        </row>
        <row r="496">
          <cell r="L496" t="str">
            <v>WA2501HZ15BK</v>
          </cell>
          <cell r="BW496">
            <v>49</v>
          </cell>
        </row>
        <row r="497">
          <cell r="L497" t="str">
            <v>WA2501HZ15BK</v>
          </cell>
          <cell r="BW497">
            <v>7</v>
          </cell>
        </row>
        <row r="498">
          <cell r="L498" t="str">
            <v>WA2501HZ15GR</v>
          </cell>
          <cell r="BW498">
            <v>16</v>
          </cell>
        </row>
        <row r="499">
          <cell r="L499" t="str">
            <v>WA2501HZ15GR</v>
          </cell>
          <cell r="BW499">
            <v>15</v>
          </cell>
        </row>
        <row r="500">
          <cell r="L500" t="str">
            <v>WA2501HZ15GR</v>
          </cell>
          <cell r="BW500">
            <v>11</v>
          </cell>
        </row>
        <row r="501">
          <cell r="L501" t="str">
            <v>WA2501HZ15GR</v>
          </cell>
          <cell r="BW501">
            <v>6</v>
          </cell>
        </row>
        <row r="502">
          <cell r="L502" t="str">
            <v>WA2501HZ51BK</v>
          </cell>
          <cell r="BW502">
            <v>7</v>
          </cell>
        </row>
        <row r="503">
          <cell r="L503" t="str">
            <v>WA2501HZ51BK</v>
          </cell>
          <cell r="BW503">
            <v>67</v>
          </cell>
        </row>
        <row r="504">
          <cell r="L504" t="str">
            <v>WA2501HZ51BK</v>
          </cell>
          <cell r="BW504">
            <v>239</v>
          </cell>
        </row>
        <row r="505">
          <cell r="L505" t="str">
            <v>WA2501HZ51BL</v>
          </cell>
          <cell r="BW505">
            <v>3</v>
          </cell>
        </row>
        <row r="506">
          <cell r="L506" t="str">
            <v>WA2501HZ51BL</v>
          </cell>
          <cell r="BW506">
            <v>5</v>
          </cell>
        </row>
        <row r="507">
          <cell r="L507" t="str">
            <v>WA2501HZ51BL</v>
          </cell>
          <cell r="BW507">
            <v>9</v>
          </cell>
        </row>
        <row r="508">
          <cell r="L508" t="str">
            <v>WA2501HZ51OT</v>
          </cell>
          <cell r="BW508">
            <v>8</v>
          </cell>
        </row>
        <row r="509">
          <cell r="L509" t="str">
            <v>WA2501HZ51OT</v>
          </cell>
          <cell r="BW509">
            <v>34</v>
          </cell>
        </row>
        <row r="510">
          <cell r="L510" t="str">
            <v>WA2501HZ51OT</v>
          </cell>
          <cell r="BW510">
            <v>156</v>
          </cell>
        </row>
        <row r="511">
          <cell r="L511" t="str">
            <v>WA2501HZ55BL</v>
          </cell>
          <cell r="BW511">
            <v>171</v>
          </cell>
        </row>
        <row r="512">
          <cell r="L512" t="str">
            <v>WA2501HZ55BL</v>
          </cell>
          <cell r="BW512">
            <v>268</v>
          </cell>
        </row>
        <row r="513">
          <cell r="L513" t="str">
            <v>WA2501HZ55GR</v>
          </cell>
          <cell r="BW513">
            <v>35</v>
          </cell>
        </row>
        <row r="514">
          <cell r="L514" t="str">
            <v>WA2501HZ55GR</v>
          </cell>
          <cell r="BW514">
            <v>59</v>
          </cell>
        </row>
        <row r="515">
          <cell r="L515" t="str">
            <v>WA2501HZ61CM</v>
          </cell>
          <cell r="BW515">
            <v>600</v>
          </cell>
        </row>
        <row r="516">
          <cell r="L516" t="str">
            <v>WA2501HZ61MN</v>
          </cell>
          <cell r="BW516">
            <v>172</v>
          </cell>
        </row>
        <row r="517">
          <cell r="L517" t="str">
            <v>WA2501HZ62GR</v>
          </cell>
          <cell r="BW517">
            <v>889</v>
          </cell>
        </row>
        <row r="518">
          <cell r="L518" t="str">
            <v>WA2501HZ62PI</v>
          </cell>
          <cell r="BW518">
            <v>497</v>
          </cell>
        </row>
        <row r="519">
          <cell r="L519" t="str">
            <v>WA2501HZ81BK</v>
          </cell>
          <cell r="BW519">
            <v>92</v>
          </cell>
        </row>
        <row r="520">
          <cell r="L520" t="str">
            <v>WA2501HZ81BK</v>
          </cell>
          <cell r="BW520">
            <v>51</v>
          </cell>
        </row>
        <row r="521">
          <cell r="L521" t="str">
            <v>WA2501HZ81BK</v>
          </cell>
          <cell r="BW521">
            <v>134</v>
          </cell>
        </row>
        <row r="522">
          <cell r="L522" t="str">
            <v>WA2501HZ81GR</v>
          </cell>
          <cell r="BW522">
            <v>143</v>
          </cell>
        </row>
        <row r="523">
          <cell r="L523" t="str">
            <v>WA2501HZ81GR</v>
          </cell>
          <cell r="BW523">
            <v>77</v>
          </cell>
        </row>
        <row r="524">
          <cell r="L524" t="str">
            <v>WA2501HZ81GR</v>
          </cell>
          <cell r="BW524">
            <v>217</v>
          </cell>
        </row>
        <row r="525">
          <cell r="L525" t="str">
            <v>WA2501HZ82CM</v>
          </cell>
          <cell r="BW525">
            <v>148</v>
          </cell>
        </row>
        <row r="526">
          <cell r="L526" t="str">
            <v>WA2501HZ82CM</v>
          </cell>
          <cell r="BW526">
            <v>80</v>
          </cell>
        </row>
        <row r="527">
          <cell r="L527" t="str">
            <v>WA2501HZ82CM</v>
          </cell>
          <cell r="BW527">
            <v>193</v>
          </cell>
        </row>
        <row r="528">
          <cell r="L528" t="str">
            <v>WA2501HZM1BK</v>
          </cell>
          <cell r="BW528">
            <v>64</v>
          </cell>
        </row>
        <row r="529">
          <cell r="L529" t="str">
            <v>WA2501HZM1BK</v>
          </cell>
          <cell r="BW529">
            <v>98</v>
          </cell>
        </row>
        <row r="530">
          <cell r="L530" t="str">
            <v>WA2501HZM1LG</v>
          </cell>
          <cell r="BW530">
            <v>7</v>
          </cell>
        </row>
        <row r="531">
          <cell r="L531" t="str">
            <v>WA2501HZM1LG</v>
          </cell>
          <cell r="BW531">
            <v>67</v>
          </cell>
        </row>
        <row r="532">
          <cell r="L532" t="str">
            <v>WA2501HZO1BK</v>
          </cell>
          <cell r="BW532">
            <v>10</v>
          </cell>
        </row>
        <row r="533">
          <cell r="L533" t="str">
            <v>WA2501HZO1BK</v>
          </cell>
          <cell r="BW533">
            <v>7</v>
          </cell>
        </row>
        <row r="534">
          <cell r="L534" t="str">
            <v>WA2501HZO1BK</v>
          </cell>
          <cell r="BW534">
            <v>303</v>
          </cell>
        </row>
        <row r="535">
          <cell r="L535" t="str">
            <v>WA2501HZO1BK</v>
          </cell>
          <cell r="BW535">
            <v>7</v>
          </cell>
        </row>
        <row r="536">
          <cell r="L536" t="str">
            <v>WA2501HZO1BK</v>
          </cell>
          <cell r="BW536">
            <v>4</v>
          </cell>
        </row>
        <row r="537">
          <cell r="L537" t="str">
            <v>WA2501HZO1CM</v>
          </cell>
          <cell r="BW537">
            <v>140</v>
          </cell>
        </row>
        <row r="538">
          <cell r="L538" t="str">
            <v>WA2501HZO1CM</v>
          </cell>
          <cell r="BW538">
            <v>114</v>
          </cell>
        </row>
        <row r="539">
          <cell r="L539" t="str">
            <v>WA2501HZO1CM</v>
          </cell>
          <cell r="BW539">
            <v>149</v>
          </cell>
        </row>
        <row r="540">
          <cell r="L540" t="str">
            <v>WA2501HZO1CM</v>
          </cell>
          <cell r="BW540">
            <v>130</v>
          </cell>
        </row>
        <row r="541">
          <cell r="L541" t="str">
            <v>WA2501HZO1CM</v>
          </cell>
          <cell r="BW541">
            <v>5</v>
          </cell>
        </row>
        <row r="542">
          <cell r="L542" t="str">
            <v>WA2501HZO1LG</v>
          </cell>
          <cell r="BW542">
            <v>14</v>
          </cell>
        </row>
        <row r="543">
          <cell r="L543" t="str">
            <v>WA2501HZO1LG</v>
          </cell>
          <cell r="BW543">
            <v>19</v>
          </cell>
        </row>
        <row r="544">
          <cell r="L544" t="str">
            <v>WA2501HZO1LG</v>
          </cell>
          <cell r="BW544">
            <v>6</v>
          </cell>
        </row>
        <row r="545">
          <cell r="L545" t="str">
            <v>WA2501HZO1LG</v>
          </cell>
          <cell r="BW545">
            <v>6</v>
          </cell>
        </row>
        <row r="546">
          <cell r="L546" t="str">
            <v>WA2501HZO1LG</v>
          </cell>
          <cell r="BW546">
            <v>3</v>
          </cell>
        </row>
        <row r="547">
          <cell r="L547" t="str">
            <v>WA2501HZO1PI</v>
          </cell>
          <cell r="BW547">
            <v>20</v>
          </cell>
        </row>
        <row r="548">
          <cell r="L548" t="str">
            <v>WA2501HZO1PI</v>
          </cell>
          <cell r="BW548">
            <v>68</v>
          </cell>
        </row>
        <row r="549">
          <cell r="L549" t="str">
            <v>WA2501HZO1PI</v>
          </cell>
          <cell r="BW549">
            <v>86</v>
          </cell>
        </row>
        <row r="550">
          <cell r="L550" t="str">
            <v>WA2501HZO1PI</v>
          </cell>
          <cell r="BW550">
            <v>19</v>
          </cell>
        </row>
        <row r="551">
          <cell r="L551" t="str">
            <v>WA2501HZO2CM</v>
          </cell>
          <cell r="BW551">
            <v>2</v>
          </cell>
        </row>
        <row r="552">
          <cell r="L552" t="str">
            <v>WA2501HZO2CM</v>
          </cell>
          <cell r="BW552">
            <v>5</v>
          </cell>
        </row>
        <row r="553">
          <cell r="L553" t="str">
            <v>WA2501HZO2CM</v>
          </cell>
          <cell r="BW553">
            <v>3</v>
          </cell>
        </row>
        <row r="554">
          <cell r="L554" t="str">
            <v>WA2501HZO2CM</v>
          </cell>
          <cell r="BW554">
            <v>2</v>
          </cell>
        </row>
        <row r="555">
          <cell r="L555" t="str">
            <v>WA2501HZO2GR</v>
          </cell>
          <cell r="BW555">
            <v>1</v>
          </cell>
        </row>
        <row r="556">
          <cell r="L556" t="str">
            <v>WA2501HZO2GR</v>
          </cell>
          <cell r="BW556">
            <v>0</v>
          </cell>
        </row>
        <row r="557">
          <cell r="L557" t="str">
            <v>WA2501HZO2GR</v>
          </cell>
          <cell r="BW557">
            <v>105</v>
          </cell>
        </row>
        <row r="558">
          <cell r="L558" t="str">
            <v>WA2501HZO2GR</v>
          </cell>
          <cell r="BW558">
            <v>1</v>
          </cell>
        </row>
        <row r="559">
          <cell r="L559" t="str">
            <v>WA2501JK11BE</v>
          </cell>
          <cell r="BW559">
            <v>81</v>
          </cell>
        </row>
        <row r="560">
          <cell r="L560" t="str">
            <v>WA2501JK11BE</v>
          </cell>
          <cell r="BW560">
            <v>153</v>
          </cell>
        </row>
        <row r="561">
          <cell r="L561" t="str">
            <v>WA2501JK11BE</v>
          </cell>
          <cell r="BW561">
            <v>135</v>
          </cell>
        </row>
        <row r="562">
          <cell r="L562" t="str">
            <v>WA2501JK11BE</v>
          </cell>
          <cell r="BW562">
            <v>12</v>
          </cell>
        </row>
        <row r="563">
          <cell r="L563" t="str">
            <v>WA2501JK11BK</v>
          </cell>
          <cell r="BW563">
            <v>112</v>
          </cell>
        </row>
        <row r="564">
          <cell r="L564" t="str">
            <v>WA2501JK11BK</v>
          </cell>
          <cell r="BW564">
            <v>214</v>
          </cell>
        </row>
        <row r="565">
          <cell r="L565" t="str">
            <v>WA2501JK11BK</v>
          </cell>
          <cell r="BW565">
            <v>208</v>
          </cell>
        </row>
        <row r="566">
          <cell r="L566" t="str">
            <v>WA2501JK11BK</v>
          </cell>
          <cell r="BW566">
            <v>38</v>
          </cell>
        </row>
        <row r="567">
          <cell r="L567" t="str">
            <v>WA2501JK11BL</v>
          </cell>
          <cell r="BW567">
            <v>54</v>
          </cell>
        </row>
        <row r="568">
          <cell r="L568" t="str">
            <v>WA2501JK11BL</v>
          </cell>
          <cell r="BW568">
            <v>93</v>
          </cell>
        </row>
        <row r="569">
          <cell r="L569" t="str">
            <v>WA2501JK11BL</v>
          </cell>
          <cell r="BW569">
            <v>76</v>
          </cell>
        </row>
        <row r="570">
          <cell r="L570" t="str">
            <v>WA2501JK11BL</v>
          </cell>
          <cell r="BW570">
            <v>27</v>
          </cell>
        </row>
        <row r="571">
          <cell r="L571" t="str">
            <v>WA2501JK12BK</v>
          </cell>
          <cell r="BW571">
            <v>261</v>
          </cell>
        </row>
        <row r="572">
          <cell r="L572" t="str">
            <v>WA2501JK12BK</v>
          </cell>
          <cell r="BW572">
            <v>354</v>
          </cell>
        </row>
        <row r="573">
          <cell r="L573" t="str">
            <v>WA2501JK12BK</v>
          </cell>
          <cell r="BW573">
            <v>406</v>
          </cell>
        </row>
        <row r="574">
          <cell r="L574" t="str">
            <v>WA2501JK12BK</v>
          </cell>
          <cell r="BW574">
            <v>184</v>
          </cell>
        </row>
        <row r="575">
          <cell r="L575" t="str">
            <v>WA2501JK13DN</v>
          </cell>
          <cell r="BW575">
            <v>128</v>
          </cell>
        </row>
        <row r="576">
          <cell r="L576" t="str">
            <v>WA2501JK13DN</v>
          </cell>
          <cell r="BW576">
            <v>129</v>
          </cell>
        </row>
        <row r="577">
          <cell r="L577" t="str">
            <v>WA2501JK13DN</v>
          </cell>
          <cell r="BW577">
            <v>167</v>
          </cell>
        </row>
        <row r="578">
          <cell r="L578" t="str">
            <v>WA2501JK13DN</v>
          </cell>
          <cell r="BW578">
            <v>69</v>
          </cell>
        </row>
        <row r="579">
          <cell r="L579" t="str">
            <v>WA2501JK14BK</v>
          </cell>
          <cell r="BW579">
            <v>233</v>
          </cell>
        </row>
        <row r="580">
          <cell r="L580" t="str">
            <v>WA2501JK14BK</v>
          </cell>
          <cell r="BW580">
            <v>244</v>
          </cell>
        </row>
        <row r="581">
          <cell r="L581" t="str">
            <v>WA2501JK14BK</v>
          </cell>
          <cell r="BW581">
            <v>205</v>
          </cell>
        </row>
        <row r="582">
          <cell r="L582" t="str">
            <v>WA2501JK14BK</v>
          </cell>
          <cell r="BW582">
            <v>211</v>
          </cell>
        </row>
        <row r="583">
          <cell r="L583" t="str">
            <v>WA2501JK14PU</v>
          </cell>
          <cell r="BW583">
            <v>154</v>
          </cell>
        </row>
        <row r="584">
          <cell r="L584" t="str">
            <v>WA2501JK14PU</v>
          </cell>
          <cell r="BW584">
            <v>174</v>
          </cell>
        </row>
        <row r="585">
          <cell r="L585" t="str">
            <v>WA2501JK14PU</v>
          </cell>
          <cell r="BW585">
            <v>94</v>
          </cell>
        </row>
        <row r="586">
          <cell r="L586" t="str">
            <v>WA2501JK14PU</v>
          </cell>
          <cell r="BW586">
            <v>112</v>
          </cell>
        </row>
        <row r="587">
          <cell r="L587" t="str">
            <v>WA2501JK15CM</v>
          </cell>
          <cell r="BW587">
            <v>138</v>
          </cell>
        </row>
        <row r="588">
          <cell r="L588" t="str">
            <v>WA2501JK15CM</v>
          </cell>
          <cell r="BW588">
            <v>139</v>
          </cell>
        </row>
        <row r="589">
          <cell r="L589" t="str">
            <v>WA2501JK15CM</v>
          </cell>
          <cell r="BW589">
            <v>138</v>
          </cell>
        </row>
        <row r="590">
          <cell r="L590" t="str">
            <v>WA2501JK15CM</v>
          </cell>
          <cell r="BW590">
            <v>94</v>
          </cell>
        </row>
        <row r="591">
          <cell r="L591" t="str">
            <v>WA2501JK16BK</v>
          </cell>
          <cell r="BW591">
            <v>181</v>
          </cell>
        </row>
        <row r="592">
          <cell r="L592" t="str">
            <v>WA2501JK16BK</v>
          </cell>
          <cell r="BW592">
            <v>262</v>
          </cell>
        </row>
        <row r="593">
          <cell r="L593" t="str">
            <v>WA2501JK16BK</v>
          </cell>
          <cell r="BW593">
            <v>171</v>
          </cell>
        </row>
        <row r="594">
          <cell r="L594" t="str">
            <v>WA2501JK16BK</v>
          </cell>
          <cell r="BW594">
            <v>117</v>
          </cell>
        </row>
        <row r="595">
          <cell r="L595" t="str">
            <v>WA2501JK16EC</v>
          </cell>
          <cell r="BW595">
            <v>115</v>
          </cell>
        </row>
        <row r="596">
          <cell r="L596" t="str">
            <v>WA2501JK16EC</v>
          </cell>
          <cell r="BW596">
            <v>193</v>
          </cell>
        </row>
        <row r="597">
          <cell r="L597" t="str">
            <v>WA2501JK16EC</v>
          </cell>
          <cell r="BW597">
            <v>120</v>
          </cell>
        </row>
        <row r="598">
          <cell r="L598" t="str">
            <v>WA2501JK16EC</v>
          </cell>
          <cell r="BW598">
            <v>89</v>
          </cell>
        </row>
        <row r="599">
          <cell r="L599" t="str">
            <v>WA2501JK17TC</v>
          </cell>
          <cell r="BW599">
            <v>156</v>
          </cell>
        </row>
        <row r="600">
          <cell r="L600" t="str">
            <v>WA2501JK17TC</v>
          </cell>
          <cell r="BW600">
            <v>200</v>
          </cell>
        </row>
        <row r="601">
          <cell r="L601" t="str">
            <v>WA2501JK17TC</v>
          </cell>
          <cell r="BW601">
            <v>127</v>
          </cell>
        </row>
        <row r="602">
          <cell r="L602" t="str">
            <v>WA2501JK17TC</v>
          </cell>
          <cell r="BW602">
            <v>98</v>
          </cell>
        </row>
        <row r="603">
          <cell r="L603" t="str">
            <v>WA2501JK18BL</v>
          </cell>
          <cell r="BW603">
            <v>270</v>
          </cell>
        </row>
        <row r="604">
          <cell r="L604" t="str">
            <v>WA2501JK18BL</v>
          </cell>
          <cell r="BW604">
            <v>238</v>
          </cell>
        </row>
        <row r="605">
          <cell r="L605" t="str">
            <v>WA2501JK18BL</v>
          </cell>
          <cell r="BW605">
            <v>180</v>
          </cell>
        </row>
        <row r="606">
          <cell r="L606" t="str">
            <v>WA2501JK18BL</v>
          </cell>
          <cell r="BW606">
            <v>172</v>
          </cell>
        </row>
        <row r="607">
          <cell r="L607" t="str">
            <v>WA2501JK18LB</v>
          </cell>
          <cell r="BW607">
            <v>155</v>
          </cell>
        </row>
        <row r="608">
          <cell r="L608" t="str">
            <v>WA2501JK18LB</v>
          </cell>
          <cell r="BW608">
            <v>141</v>
          </cell>
        </row>
        <row r="609">
          <cell r="L609" t="str">
            <v>WA2501JK18LB</v>
          </cell>
          <cell r="BW609">
            <v>105</v>
          </cell>
        </row>
        <row r="610">
          <cell r="L610" t="str">
            <v>WA2501JK18LB</v>
          </cell>
          <cell r="BW610">
            <v>103</v>
          </cell>
        </row>
        <row r="611">
          <cell r="L611" t="str">
            <v>WA2501JK19BK</v>
          </cell>
          <cell r="BW611">
            <v>153</v>
          </cell>
        </row>
        <row r="612">
          <cell r="L612" t="str">
            <v>WA2501JK19BK</v>
          </cell>
          <cell r="BW612">
            <v>139</v>
          </cell>
        </row>
        <row r="613">
          <cell r="L613" t="str">
            <v>WA2501JK19BK</v>
          </cell>
          <cell r="BW613">
            <v>115</v>
          </cell>
        </row>
        <row r="614">
          <cell r="L614" t="str">
            <v>WA2501JK19BK</v>
          </cell>
          <cell r="BW614">
            <v>94</v>
          </cell>
        </row>
        <row r="615">
          <cell r="L615" t="str">
            <v>WA2501JK19LB</v>
          </cell>
          <cell r="BW615">
            <v>122</v>
          </cell>
        </row>
        <row r="616">
          <cell r="L616" t="str">
            <v>WA2501JK19LB</v>
          </cell>
          <cell r="BW616">
            <v>131</v>
          </cell>
        </row>
        <row r="617">
          <cell r="L617" t="str">
            <v>WA2501JK19LB</v>
          </cell>
          <cell r="BW617">
            <v>81</v>
          </cell>
        </row>
        <row r="618">
          <cell r="L618" t="str">
            <v>WA2501JK19LB</v>
          </cell>
          <cell r="BW618">
            <v>97</v>
          </cell>
        </row>
        <row r="619">
          <cell r="L619" t="str">
            <v>WA2501JK20DN</v>
          </cell>
          <cell r="BW619">
            <v>54</v>
          </cell>
        </row>
        <row r="620">
          <cell r="L620" t="str">
            <v>WA2501JK20DN</v>
          </cell>
          <cell r="BW620">
            <v>27</v>
          </cell>
        </row>
        <row r="621">
          <cell r="L621" t="str">
            <v>WA2501JK20DN</v>
          </cell>
          <cell r="BW621">
            <v>26</v>
          </cell>
        </row>
        <row r="622">
          <cell r="L622" t="str">
            <v>WA2501JK20DN</v>
          </cell>
          <cell r="BW622">
            <v>27</v>
          </cell>
        </row>
        <row r="623">
          <cell r="L623" t="str">
            <v>WA2501JK21BK</v>
          </cell>
          <cell r="BW623">
            <v>160</v>
          </cell>
        </row>
        <row r="624">
          <cell r="L624" t="str">
            <v>WA2501JK21BK</v>
          </cell>
          <cell r="BW624">
            <v>208</v>
          </cell>
        </row>
        <row r="625">
          <cell r="L625" t="str">
            <v>WA2501JK21BK</v>
          </cell>
          <cell r="BW625">
            <v>277</v>
          </cell>
        </row>
        <row r="626">
          <cell r="L626" t="str">
            <v>WA2501JK21BK</v>
          </cell>
          <cell r="BW626">
            <v>78</v>
          </cell>
        </row>
        <row r="627">
          <cell r="L627" t="str">
            <v>WA2501JK21LK</v>
          </cell>
          <cell r="BW627">
            <v>109</v>
          </cell>
        </row>
        <row r="628">
          <cell r="L628" t="str">
            <v>WA2501JK21LK</v>
          </cell>
          <cell r="BW628">
            <v>126</v>
          </cell>
        </row>
        <row r="629">
          <cell r="L629" t="str">
            <v>WA2501JK21LK</v>
          </cell>
          <cell r="BW629">
            <v>140</v>
          </cell>
        </row>
        <row r="630">
          <cell r="L630" t="str">
            <v>WA2501JK21LK</v>
          </cell>
          <cell r="BW630">
            <v>68</v>
          </cell>
        </row>
        <row r="631">
          <cell r="L631" t="str">
            <v>WA2501JK67CM</v>
          </cell>
          <cell r="BW631">
            <v>61</v>
          </cell>
        </row>
        <row r="632">
          <cell r="L632" t="str">
            <v>WA2501JK67NA</v>
          </cell>
          <cell r="BW632">
            <v>406</v>
          </cell>
        </row>
        <row r="633">
          <cell r="L633" t="str">
            <v>WA2501JK68BE</v>
          </cell>
          <cell r="BW633">
            <v>330</v>
          </cell>
        </row>
        <row r="634">
          <cell r="L634" t="str">
            <v>WA2501JK68DN</v>
          </cell>
          <cell r="BW634">
            <v>142</v>
          </cell>
        </row>
        <row r="635">
          <cell r="L635" t="str">
            <v>WA2501JK69BK</v>
          </cell>
          <cell r="BW635">
            <v>435</v>
          </cell>
        </row>
        <row r="636">
          <cell r="L636" t="str">
            <v>WA2501JK69BL</v>
          </cell>
          <cell r="BW636">
            <v>430</v>
          </cell>
        </row>
        <row r="637">
          <cell r="L637" t="str">
            <v>WA2501JW01MI</v>
          </cell>
          <cell r="BW637">
            <v>85</v>
          </cell>
        </row>
        <row r="638">
          <cell r="L638" t="str">
            <v>WA2501JW01WH</v>
          </cell>
          <cell r="BW638">
            <v>76</v>
          </cell>
        </row>
        <row r="639">
          <cell r="L639" t="str">
            <v>WA2501JW02MI</v>
          </cell>
          <cell r="BW639">
            <v>257</v>
          </cell>
        </row>
        <row r="640">
          <cell r="L640" t="str">
            <v>WA2501JW02WH</v>
          </cell>
          <cell r="BW640">
            <v>201</v>
          </cell>
        </row>
        <row r="641">
          <cell r="L641" t="str">
            <v>WA2501JW03MI</v>
          </cell>
          <cell r="BW641">
            <v>269</v>
          </cell>
        </row>
        <row r="642">
          <cell r="L642" t="str">
            <v>WA2501JW03WH</v>
          </cell>
          <cell r="BW642">
            <v>105</v>
          </cell>
        </row>
        <row r="643">
          <cell r="L643" t="str">
            <v>WA2501JW04SV</v>
          </cell>
          <cell r="BW643">
            <v>279</v>
          </cell>
        </row>
        <row r="644">
          <cell r="L644" t="str">
            <v>WA2501JW05SV</v>
          </cell>
          <cell r="BW644">
            <v>262</v>
          </cell>
        </row>
        <row r="645">
          <cell r="L645" t="str">
            <v>WA2501JW06SV</v>
          </cell>
          <cell r="BW645">
            <v>336</v>
          </cell>
        </row>
        <row r="646">
          <cell r="L646" t="str">
            <v>WA2501JW07SV</v>
          </cell>
          <cell r="BW646">
            <v>385</v>
          </cell>
        </row>
        <row r="647">
          <cell r="L647" t="str">
            <v>WA2501JW08SV</v>
          </cell>
          <cell r="BW647">
            <v>364</v>
          </cell>
        </row>
        <row r="648">
          <cell r="L648" t="str">
            <v>WA2501JW09SV</v>
          </cell>
          <cell r="BW648">
            <v>79</v>
          </cell>
        </row>
        <row r="649">
          <cell r="L649" t="str">
            <v>WA2501KT11BL</v>
          </cell>
          <cell r="BW649">
            <v>181</v>
          </cell>
        </row>
        <row r="650">
          <cell r="L650" t="str">
            <v>WA2501KT11BL</v>
          </cell>
          <cell r="BW650">
            <v>206</v>
          </cell>
        </row>
        <row r="651">
          <cell r="L651" t="str">
            <v>WA2501KT11BL</v>
          </cell>
          <cell r="BW651">
            <v>187</v>
          </cell>
        </row>
        <row r="652">
          <cell r="L652" t="str">
            <v>WA2501KT11BL</v>
          </cell>
          <cell r="BW652">
            <v>98</v>
          </cell>
        </row>
        <row r="653">
          <cell r="L653" t="str">
            <v>WA2501KT11CH</v>
          </cell>
          <cell r="BW653">
            <v>98</v>
          </cell>
        </row>
        <row r="654">
          <cell r="L654" t="str">
            <v>WA2501KT11CH</v>
          </cell>
          <cell r="BW654">
            <v>141</v>
          </cell>
        </row>
        <row r="655">
          <cell r="L655" t="str">
            <v>WA2501KT11CH</v>
          </cell>
          <cell r="BW655">
            <v>135</v>
          </cell>
        </row>
        <row r="656">
          <cell r="L656" t="str">
            <v>WA2501KT11CH</v>
          </cell>
          <cell r="BW656">
            <v>54</v>
          </cell>
        </row>
        <row r="657">
          <cell r="L657" t="str">
            <v>WA2501KT12BK</v>
          </cell>
          <cell r="BW657">
            <v>124</v>
          </cell>
        </row>
        <row r="658">
          <cell r="L658" t="str">
            <v>WA2501KT12BK</v>
          </cell>
          <cell r="BW658">
            <v>143</v>
          </cell>
        </row>
        <row r="659">
          <cell r="L659" t="str">
            <v>WA2501KT12BK</v>
          </cell>
          <cell r="BW659">
            <v>156</v>
          </cell>
        </row>
        <row r="660">
          <cell r="L660" t="str">
            <v>WA2501KT12BK</v>
          </cell>
          <cell r="BW660">
            <v>80</v>
          </cell>
        </row>
        <row r="661">
          <cell r="L661" t="str">
            <v>WA2501KT12CM</v>
          </cell>
          <cell r="BW661">
            <v>126</v>
          </cell>
        </row>
        <row r="662">
          <cell r="L662" t="str">
            <v>WA2501KT12CM</v>
          </cell>
          <cell r="BW662">
            <v>144</v>
          </cell>
        </row>
        <row r="663">
          <cell r="L663" t="str">
            <v>WA2501KT12CM</v>
          </cell>
          <cell r="BW663">
            <v>140</v>
          </cell>
        </row>
        <row r="664">
          <cell r="L664" t="str">
            <v>WA2501KT12CM</v>
          </cell>
          <cell r="BW664">
            <v>73</v>
          </cell>
        </row>
        <row r="665">
          <cell r="L665" t="str">
            <v>WA2501KT13BK</v>
          </cell>
          <cell r="BW665">
            <v>156</v>
          </cell>
        </row>
        <row r="666">
          <cell r="L666" t="str">
            <v>WA2501KT13BK</v>
          </cell>
          <cell r="BW666">
            <v>157</v>
          </cell>
        </row>
        <row r="667">
          <cell r="L667" t="str">
            <v>WA2501KT13BK</v>
          </cell>
          <cell r="BW667">
            <v>180</v>
          </cell>
        </row>
        <row r="668">
          <cell r="L668" t="str">
            <v>WA2501KT13BK</v>
          </cell>
          <cell r="BW668">
            <v>76</v>
          </cell>
        </row>
        <row r="669">
          <cell r="L669" t="str">
            <v>WA2501KT13CM</v>
          </cell>
          <cell r="BW669">
            <v>123</v>
          </cell>
        </row>
        <row r="670">
          <cell r="L670" t="str">
            <v>WA2501KT13CM</v>
          </cell>
          <cell r="BW670">
            <v>134</v>
          </cell>
        </row>
        <row r="671">
          <cell r="L671" t="str">
            <v>WA2501KT13CM</v>
          </cell>
          <cell r="BW671">
            <v>136</v>
          </cell>
        </row>
        <row r="672">
          <cell r="L672" t="str">
            <v>WA2501KT13CM</v>
          </cell>
          <cell r="BW672">
            <v>72</v>
          </cell>
        </row>
        <row r="673">
          <cell r="L673" t="str">
            <v>WA2501KT61OT</v>
          </cell>
          <cell r="BW673">
            <v>146</v>
          </cell>
        </row>
        <row r="674">
          <cell r="L674" t="str">
            <v>WA2501KT61PI</v>
          </cell>
          <cell r="BW674">
            <v>183</v>
          </cell>
        </row>
        <row r="675">
          <cell r="L675" t="str">
            <v>WA2501KT62TC</v>
          </cell>
          <cell r="BW675">
            <v>301</v>
          </cell>
        </row>
        <row r="676">
          <cell r="L676" t="str">
            <v>WA2501LT01BK</v>
          </cell>
          <cell r="BW676">
            <v>20</v>
          </cell>
        </row>
        <row r="677">
          <cell r="L677" t="str">
            <v>WA2501LT01BK</v>
          </cell>
          <cell r="BW677">
            <v>60</v>
          </cell>
        </row>
        <row r="678">
          <cell r="L678" t="str">
            <v>WA2501LT01BK</v>
          </cell>
          <cell r="BW678">
            <v>110</v>
          </cell>
        </row>
        <row r="679">
          <cell r="L679" t="str">
            <v>WA2501LT01BK</v>
          </cell>
          <cell r="BW679">
            <v>24</v>
          </cell>
        </row>
        <row r="680">
          <cell r="L680" t="str">
            <v>WA2501LT01WH</v>
          </cell>
          <cell r="BW680">
            <v>31</v>
          </cell>
        </row>
        <row r="681">
          <cell r="L681" t="str">
            <v>WA2501LT01WH</v>
          </cell>
          <cell r="BW681">
            <v>56</v>
          </cell>
        </row>
        <row r="682">
          <cell r="L682" t="str">
            <v>WA2501LT01WH</v>
          </cell>
          <cell r="BW682">
            <v>76</v>
          </cell>
        </row>
        <row r="683">
          <cell r="L683" t="str">
            <v>WA2501LT01WH</v>
          </cell>
          <cell r="BW683">
            <v>34</v>
          </cell>
        </row>
        <row r="684">
          <cell r="L684" t="str">
            <v>WA2501LT11CH</v>
          </cell>
          <cell r="BW684">
            <v>44</v>
          </cell>
        </row>
        <row r="685">
          <cell r="L685" t="str">
            <v>WA2501LT11CH</v>
          </cell>
          <cell r="BW685">
            <v>132</v>
          </cell>
        </row>
        <row r="686">
          <cell r="L686" t="str">
            <v>WA2501LT11CH</v>
          </cell>
          <cell r="BW686">
            <v>187</v>
          </cell>
        </row>
        <row r="687">
          <cell r="L687" t="str">
            <v>WA2501LT11CH</v>
          </cell>
          <cell r="BW687">
            <v>59</v>
          </cell>
        </row>
        <row r="688">
          <cell r="L688" t="str">
            <v>WA2501LT11WH</v>
          </cell>
          <cell r="BW688">
            <v>79</v>
          </cell>
        </row>
        <row r="689">
          <cell r="L689" t="str">
            <v>WA2501LT11WH</v>
          </cell>
          <cell r="BW689">
            <v>125</v>
          </cell>
        </row>
        <row r="690">
          <cell r="L690" t="str">
            <v>WA2501LT11WH</v>
          </cell>
          <cell r="BW690">
            <v>179</v>
          </cell>
        </row>
        <row r="691">
          <cell r="L691" t="str">
            <v>WA2501LT11WH</v>
          </cell>
          <cell r="BW691">
            <v>71</v>
          </cell>
        </row>
        <row r="692">
          <cell r="L692" t="str">
            <v>WA2501LT12BK</v>
          </cell>
          <cell r="BW692">
            <v>106</v>
          </cell>
        </row>
        <row r="693">
          <cell r="L693" t="str">
            <v>WA2501LT12BK</v>
          </cell>
          <cell r="BW693">
            <v>118</v>
          </cell>
        </row>
        <row r="694">
          <cell r="L694" t="str">
            <v>WA2501LT12BK</v>
          </cell>
          <cell r="BW694">
            <v>139</v>
          </cell>
        </row>
        <row r="695">
          <cell r="L695" t="str">
            <v>WA2501LT12BK</v>
          </cell>
          <cell r="BW695">
            <v>88</v>
          </cell>
        </row>
        <row r="696">
          <cell r="L696" t="str">
            <v>WA2501LT12WH</v>
          </cell>
          <cell r="BW696">
            <v>130</v>
          </cell>
        </row>
        <row r="697">
          <cell r="L697" t="str">
            <v>WA2501LT12WH</v>
          </cell>
          <cell r="BW697">
            <v>138</v>
          </cell>
        </row>
        <row r="698">
          <cell r="L698" t="str">
            <v>WA2501LT12WH</v>
          </cell>
          <cell r="BW698">
            <v>105</v>
          </cell>
        </row>
        <row r="699">
          <cell r="L699" t="str">
            <v>WA2501LT12WH</v>
          </cell>
          <cell r="BW699">
            <v>103</v>
          </cell>
        </row>
        <row r="700">
          <cell r="L700" t="str">
            <v>WA2501LT13LB</v>
          </cell>
          <cell r="BW700">
            <v>134</v>
          </cell>
        </row>
        <row r="701">
          <cell r="L701" t="str">
            <v>WA2501LT13LB</v>
          </cell>
          <cell r="BW701">
            <v>137</v>
          </cell>
        </row>
        <row r="702">
          <cell r="L702" t="str">
            <v>WA2501LT13LB</v>
          </cell>
          <cell r="BW702">
            <v>99</v>
          </cell>
        </row>
        <row r="703">
          <cell r="L703" t="str">
            <v>WA2501LT13LB</v>
          </cell>
          <cell r="BW703">
            <v>111</v>
          </cell>
        </row>
        <row r="704">
          <cell r="L704" t="str">
            <v>WA2501LT13WH</v>
          </cell>
          <cell r="BW704">
            <v>127</v>
          </cell>
        </row>
        <row r="705">
          <cell r="L705" t="str">
            <v>WA2501LT13WH</v>
          </cell>
          <cell r="BW705">
            <v>101</v>
          </cell>
        </row>
        <row r="706">
          <cell r="L706" t="str">
            <v>WA2501LT13WH</v>
          </cell>
          <cell r="BW706">
            <v>50</v>
          </cell>
        </row>
        <row r="707">
          <cell r="L707" t="str">
            <v>WA2501LT13WH</v>
          </cell>
          <cell r="BW707">
            <v>87</v>
          </cell>
        </row>
        <row r="708">
          <cell r="L708" t="str">
            <v>WA2501LT14NA</v>
          </cell>
          <cell r="BW708">
            <v>84</v>
          </cell>
        </row>
        <row r="709">
          <cell r="L709" t="str">
            <v>WA2501LT14NA</v>
          </cell>
          <cell r="BW709">
            <v>102</v>
          </cell>
        </row>
        <row r="710">
          <cell r="L710" t="str">
            <v>WA2501LT14NA</v>
          </cell>
          <cell r="BW710">
            <v>84</v>
          </cell>
        </row>
        <row r="711">
          <cell r="L711" t="str">
            <v>WA2501LT14PU</v>
          </cell>
          <cell r="BW711">
            <v>123</v>
          </cell>
        </row>
        <row r="712">
          <cell r="L712" t="str">
            <v>WA2501LT14PU</v>
          </cell>
          <cell r="BW712">
            <v>162</v>
          </cell>
        </row>
        <row r="713">
          <cell r="L713" t="str">
            <v>WA2501LT14PU</v>
          </cell>
          <cell r="BW713">
            <v>112</v>
          </cell>
        </row>
        <row r="714">
          <cell r="L714" t="str">
            <v>WA2501LT15GN</v>
          </cell>
          <cell r="BW714">
            <v>3</v>
          </cell>
        </row>
        <row r="715">
          <cell r="L715" t="str">
            <v>WA2501LT15GN</v>
          </cell>
          <cell r="BW715">
            <v>3</v>
          </cell>
        </row>
        <row r="716">
          <cell r="L716" t="str">
            <v>WA2501LT15GN</v>
          </cell>
          <cell r="BW716">
            <v>3</v>
          </cell>
        </row>
        <row r="717">
          <cell r="L717" t="str">
            <v>WA2501LT15NA</v>
          </cell>
          <cell r="BW717">
            <v>35</v>
          </cell>
        </row>
        <row r="718">
          <cell r="L718" t="str">
            <v>WA2501LT15NA</v>
          </cell>
          <cell r="BW718">
            <v>64</v>
          </cell>
        </row>
        <row r="719">
          <cell r="L719" t="str">
            <v>WA2501LT15NA</v>
          </cell>
          <cell r="BW719">
            <v>20</v>
          </cell>
        </row>
        <row r="720">
          <cell r="L720" t="str">
            <v>WA2501LT16BK</v>
          </cell>
          <cell r="BW720">
            <v>111</v>
          </cell>
        </row>
        <row r="721">
          <cell r="L721" t="str">
            <v>WA2501LT16BK</v>
          </cell>
          <cell r="BW721">
            <v>168</v>
          </cell>
        </row>
        <row r="722">
          <cell r="L722" t="str">
            <v>WA2501LT16BK</v>
          </cell>
          <cell r="BW722">
            <v>157</v>
          </cell>
        </row>
        <row r="723">
          <cell r="L723" t="str">
            <v>WA2501LT17CM</v>
          </cell>
          <cell r="BW723">
            <v>32</v>
          </cell>
        </row>
        <row r="724">
          <cell r="L724" t="str">
            <v>WA2501LT17CM</v>
          </cell>
          <cell r="BW724">
            <v>19</v>
          </cell>
        </row>
        <row r="725">
          <cell r="L725" t="str">
            <v>WA2501LT17CM</v>
          </cell>
          <cell r="BW725">
            <v>4</v>
          </cell>
        </row>
        <row r="726">
          <cell r="L726" t="str">
            <v>WA2501LT17CM</v>
          </cell>
          <cell r="BW726">
            <v>36</v>
          </cell>
        </row>
        <row r="727">
          <cell r="L727" t="str">
            <v>WA2501LT17GN</v>
          </cell>
          <cell r="BW727">
            <v>69</v>
          </cell>
        </row>
        <row r="728">
          <cell r="L728" t="str">
            <v>WA2501LT17GN</v>
          </cell>
          <cell r="BW728">
            <v>101</v>
          </cell>
        </row>
        <row r="729">
          <cell r="L729" t="str">
            <v>WA2501LT17GN</v>
          </cell>
          <cell r="BW729">
            <v>49</v>
          </cell>
        </row>
        <row r="730">
          <cell r="L730" t="str">
            <v>WA2501LT17GN</v>
          </cell>
          <cell r="BW730">
            <v>61</v>
          </cell>
        </row>
        <row r="731">
          <cell r="L731" t="str">
            <v>WA2501LT18CH</v>
          </cell>
          <cell r="BW731">
            <v>71</v>
          </cell>
        </row>
        <row r="732">
          <cell r="L732" t="str">
            <v>WA2501LT18CH</v>
          </cell>
          <cell r="BW732">
            <v>49</v>
          </cell>
        </row>
        <row r="733">
          <cell r="L733" t="str">
            <v>WA2501LT18CH</v>
          </cell>
          <cell r="BW733">
            <v>14</v>
          </cell>
        </row>
        <row r="734">
          <cell r="L734" t="str">
            <v>WA2501LT18CH</v>
          </cell>
          <cell r="BW734">
            <v>81</v>
          </cell>
        </row>
        <row r="735">
          <cell r="L735" t="str">
            <v>WA2501LT61OT</v>
          </cell>
          <cell r="BW735">
            <v>20</v>
          </cell>
        </row>
        <row r="736">
          <cell r="L736" t="str">
            <v>WA2501LT61WH</v>
          </cell>
          <cell r="BW736">
            <v>37</v>
          </cell>
        </row>
        <row r="737">
          <cell r="L737" t="str">
            <v>WA2501LT62NA</v>
          </cell>
          <cell r="BW737">
            <v>34</v>
          </cell>
        </row>
        <row r="738">
          <cell r="L738" t="str">
            <v>WA2501LT62SB</v>
          </cell>
          <cell r="BW738">
            <v>73</v>
          </cell>
        </row>
        <row r="739">
          <cell r="L739" t="str">
            <v>WA2501LT63TC</v>
          </cell>
          <cell r="BW739">
            <v>210</v>
          </cell>
        </row>
        <row r="740">
          <cell r="L740" t="str">
            <v>WA2501PT01BK</v>
          </cell>
          <cell r="BW740">
            <v>28</v>
          </cell>
        </row>
        <row r="741">
          <cell r="L741" t="str">
            <v>WA2501PT01BK</v>
          </cell>
          <cell r="BW741">
            <v>184</v>
          </cell>
        </row>
        <row r="742">
          <cell r="L742" t="str">
            <v>WA2501PT01BK</v>
          </cell>
          <cell r="BW742">
            <v>495</v>
          </cell>
        </row>
        <row r="743">
          <cell r="L743" t="str">
            <v>WA2501PT01BK</v>
          </cell>
          <cell r="BW743">
            <v>5</v>
          </cell>
        </row>
        <row r="744">
          <cell r="L744" t="str">
            <v>WA2501PT01BK</v>
          </cell>
          <cell r="BW744">
            <v>129</v>
          </cell>
        </row>
        <row r="745">
          <cell r="L745" t="str">
            <v>WA2501PT01GR</v>
          </cell>
          <cell r="BW745">
            <v>106</v>
          </cell>
        </row>
        <row r="746">
          <cell r="L746" t="str">
            <v>WA2501PT01GR</v>
          </cell>
          <cell r="BW746">
            <v>266</v>
          </cell>
        </row>
        <row r="747">
          <cell r="L747" t="str">
            <v>WA2501PT01GR</v>
          </cell>
          <cell r="BW747">
            <v>516</v>
          </cell>
        </row>
        <row r="748">
          <cell r="L748" t="str">
            <v>WA2501PT01GR</v>
          </cell>
          <cell r="BW748">
            <v>57</v>
          </cell>
        </row>
        <row r="749">
          <cell r="L749" t="str">
            <v>WA2501PT01GR</v>
          </cell>
          <cell r="BW749">
            <v>111</v>
          </cell>
        </row>
        <row r="750">
          <cell r="L750" t="str">
            <v>WA2501PT01LG</v>
          </cell>
          <cell r="BW750">
            <v>221</v>
          </cell>
        </row>
        <row r="751">
          <cell r="L751" t="str">
            <v>WA2501PT01LG</v>
          </cell>
          <cell r="BW751">
            <v>395</v>
          </cell>
        </row>
        <row r="752">
          <cell r="L752" t="str">
            <v>WA2501PT01LG</v>
          </cell>
          <cell r="BW752">
            <v>588</v>
          </cell>
        </row>
        <row r="753">
          <cell r="L753" t="str">
            <v>WA2501PT01LG</v>
          </cell>
          <cell r="BW753">
            <v>102</v>
          </cell>
        </row>
        <row r="754">
          <cell r="L754" t="str">
            <v>WA2501PT01LG</v>
          </cell>
          <cell r="BW754">
            <v>105</v>
          </cell>
        </row>
        <row r="755">
          <cell r="L755" t="str">
            <v>WA2501PT01LK</v>
          </cell>
          <cell r="BW755">
            <v>102</v>
          </cell>
        </row>
        <row r="756">
          <cell r="L756" t="str">
            <v>WA2501PT01LK</v>
          </cell>
          <cell r="BW756">
            <v>220</v>
          </cell>
        </row>
        <row r="757">
          <cell r="L757" t="str">
            <v>WA2501PT01LK</v>
          </cell>
          <cell r="BW757">
            <v>320</v>
          </cell>
        </row>
        <row r="758">
          <cell r="L758" t="str">
            <v>WA2501PT01LK</v>
          </cell>
          <cell r="BW758">
            <v>56</v>
          </cell>
        </row>
        <row r="759">
          <cell r="L759" t="str">
            <v>WA2501PT01LK</v>
          </cell>
          <cell r="BW759">
            <v>135</v>
          </cell>
        </row>
        <row r="760">
          <cell r="L760" t="str">
            <v>WA2501PT02BK</v>
          </cell>
          <cell r="BW760">
            <v>116</v>
          </cell>
        </row>
        <row r="761">
          <cell r="L761" t="str">
            <v>WA2501PT02BK</v>
          </cell>
          <cell r="BW761">
            <v>291</v>
          </cell>
        </row>
        <row r="762">
          <cell r="L762" t="str">
            <v>WA2501PT02BK</v>
          </cell>
          <cell r="BW762">
            <v>459</v>
          </cell>
        </row>
        <row r="763">
          <cell r="L763" t="str">
            <v>WA2501PT02BK</v>
          </cell>
          <cell r="BW763">
            <v>35</v>
          </cell>
        </row>
        <row r="764">
          <cell r="L764" t="str">
            <v>WA2501PT02BK</v>
          </cell>
          <cell r="BW764">
            <v>257</v>
          </cell>
        </row>
        <row r="765">
          <cell r="L765" t="str">
            <v>WA2501PT02GR</v>
          </cell>
          <cell r="BW765">
            <v>97</v>
          </cell>
        </row>
        <row r="766">
          <cell r="L766" t="str">
            <v>WA2501PT02GR</v>
          </cell>
          <cell r="BW766">
            <v>241</v>
          </cell>
        </row>
        <row r="767">
          <cell r="L767" t="str">
            <v>WA2501PT02GR</v>
          </cell>
          <cell r="BW767">
            <v>306</v>
          </cell>
        </row>
        <row r="768">
          <cell r="L768" t="str">
            <v>WA2501PT02GR</v>
          </cell>
          <cell r="BW768">
            <v>35</v>
          </cell>
        </row>
        <row r="769">
          <cell r="L769" t="str">
            <v>WA2501PT02GR</v>
          </cell>
          <cell r="BW769">
            <v>137</v>
          </cell>
        </row>
        <row r="770">
          <cell r="L770" t="str">
            <v>WA2501PT02LG</v>
          </cell>
          <cell r="BW770">
            <v>108</v>
          </cell>
        </row>
        <row r="771">
          <cell r="L771" t="str">
            <v>WA2501PT02LG</v>
          </cell>
          <cell r="BW771">
            <v>261</v>
          </cell>
        </row>
        <row r="772">
          <cell r="L772" t="str">
            <v>WA2501PT02LG</v>
          </cell>
          <cell r="BW772">
            <v>360</v>
          </cell>
        </row>
        <row r="773">
          <cell r="L773" t="str">
            <v>WA2501PT02LG</v>
          </cell>
          <cell r="BW773">
            <v>55</v>
          </cell>
        </row>
        <row r="774">
          <cell r="L774" t="str">
            <v>WA2501PT02LG</v>
          </cell>
          <cell r="BW774">
            <v>170</v>
          </cell>
        </row>
        <row r="775">
          <cell r="L775" t="str">
            <v>WA2501PT03BK</v>
          </cell>
          <cell r="BW775">
            <v>69</v>
          </cell>
        </row>
        <row r="776">
          <cell r="L776" t="str">
            <v>WA2501PT03BK</v>
          </cell>
          <cell r="BW776">
            <v>206</v>
          </cell>
        </row>
        <row r="777">
          <cell r="L777" t="str">
            <v>WA2501PT03BK</v>
          </cell>
          <cell r="BW777">
            <v>236</v>
          </cell>
        </row>
        <row r="778">
          <cell r="L778" t="str">
            <v>WA2501PT03BK</v>
          </cell>
          <cell r="BW778">
            <v>51</v>
          </cell>
        </row>
        <row r="779">
          <cell r="L779" t="str">
            <v>WA2501PT03GR</v>
          </cell>
          <cell r="BW779">
            <v>34</v>
          </cell>
        </row>
        <row r="780">
          <cell r="L780" t="str">
            <v>WA2501PT03GR</v>
          </cell>
          <cell r="BW780">
            <v>104</v>
          </cell>
        </row>
        <row r="781">
          <cell r="L781" t="str">
            <v>WA2501PT03GR</v>
          </cell>
          <cell r="BW781">
            <v>149</v>
          </cell>
        </row>
        <row r="782">
          <cell r="L782" t="str">
            <v>WA2501PT03GR</v>
          </cell>
          <cell r="BW782">
            <v>38</v>
          </cell>
        </row>
        <row r="783">
          <cell r="L783" t="str">
            <v>WA2501PT04BE</v>
          </cell>
          <cell r="BW783">
            <v>195</v>
          </cell>
        </row>
        <row r="784">
          <cell r="L784" t="str">
            <v>WA2501PT04BE</v>
          </cell>
          <cell r="BW784">
            <v>229</v>
          </cell>
        </row>
        <row r="785">
          <cell r="L785" t="str">
            <v>WA2501PT04BE</v>
          </cell>
          <cell r="BW785">
            <v>276</v>
          </cell>
        </row>
        <row r="786">
          <cell r="L786" t="str">
            <v>WA2501PT04BE</v>
          </cell>
          <cell r="BW786">
            <v>102</v>
          </cell>
        </row>
        <row r="787">
          <cell r="L787" t="str">
            <v>WA2501PT04BL</v>
          </cell>
          <cell r="BW787">
            <v>167</v>
          </cell>
        </row>
        <row r="788">
          <cell r="L788" t="str">
            <v>WA2501PT04BL</v>
          </cell>
          <cell r="BW788">
            <v>211</v>
          </cell>
        </row>
        <row r="789">
          <cell r="L789" t="str">
            <v>WA2501PT04BL</v>
          </cell>
          <cell r="BW789">
            <v>261</v>
          </cell>
        </row>
        <row r="790">
          <cell r="L790" t="str">
            <v>WA2501PT04BL</v>
          </cell>
          <cell r="BW790">
            <v>88</v>
          </cell>
        </row>
        <row r="791">
          <cell r="L791" t="str">
            <v>WA2501PT04CH</v>
          </cell>
          <cell r="BW791">
            <v>388</v>
          </cell>
        </row>
        <row r="792">
          <cell r="L792" t="str">
            <v>WA2501PT04CH</v>
          </cell>
          <cell r="BW792">
            <v>735</v>
          </cell>
        </row>
        <row r="793">
          <cell r="L793" t="str">
            <v>WA2501PT04CH</v>
          </cell>
          <cell r="BW793">
            <v>736</v>
          </cell>
        </row>
        <row r="794">
          <cell r="L794" t="str">
            <v>WA2501PT04CH</v>
          </cell>
          <cell r="BW794">
            <v>277</v>
          </cell>
        </row>
        <row r="795">
          <cell r="L795" t="str">
            <v>WA2501PT05BK</v>
          </cell>
          <cell r="BW795">
            <v>88</v>
          </cell>
        </row>
        <row r="796">
          <cell r="L796" t="str">
            <v>WA2501PT05BK</v>
          </cell>
          <cell r="BW796">
            <v>138</v>
          </cell>
        </row>
        <row r="797">
          <cell r="L797" t="str">
            <v>WA2501PT05BK</v>
          </cell>
          <cell r="BW797">
            <v>171</v>
          </cell>
        </row>
        <row r="798">
          <cell r="L798" t="str">
            <v>WA2501PT05BK</v>
          </cell>
          <cell r="BW798">
            <v>76</v>
          </cell>
        </row>
        <row r="799">
          <cell r="L799" t="str">
            <v>WA2501PT05GR</v>
          </cell>
          <cell r="BW799">
            <v>59</v>
          </cell>
        </row>
        <row r="800">
          <cell r="L800" t="str">
            <v>WA2501PT05GR</v>
          </cell>
          <cell r="BW800">
            <v>81</v>
          </cell>
        </row>
        <row r="801">
          <cell r="L801" t="str">
            <v>WA2501PT05GR</v>
          </cell>
          <cell r="BW801">
            <v>82</v>
          </cell>
        </row>
        <row r="802">
          <cell r="L802" t="str">
            <v>WA2501PT05GR</v>
          </cell>
          <cell r="BW802">
            <v>39</v>
          </cell>
        </row>
        <row r="803">
          <cell r="L803" t="str">
            <v>WA2501PT11BL</v>
          </cell>
          <cell r="BW803">
            <v>92</v>
          </cell>
        </row>
        <row r="804">
          <cell r="L804" t="str">
            <v>WA2501PT11BL</v>
          </cell>
          <cell r="BW804">
            <v>175</v>
          </cell>
        </row>
        <row r="805">
          <cell r="L805" t="str">
            <v>WA2501PT11BL</v>
          </cell>
          <cell r="BW805">
            <v>158</v>
          </cell>
        </row>
        <row r="806">
          <cell r="L806" t="str">
            <v>WA2501PT11BL</v>
          </cell>
          <cell r="BW806">
            <v>58</v>
          </cell>
        </row>
        <row r="807">
          <cell r="L807" t="str">
            <v>WA2501PT11IN</v>
          </cell>
          <cell r="BW807">
            <v>117</v>
          </cell>
        </row>
        <row r="808">
          <cell r="L808" t="str">
            <v>WA2501PT11IN</v>
          </cell>
          <cell r="BW808">
            <v>223</v>
          </cell>
        </row>
        <row r="809">
          <cell r="L809" t="str">
            <v>WA2501PT11IN</v>
          </cell>
          <cell r="BW809">
            <v>194</v>
          </cell>
        </row>
        <row r="810">
          <cell r="L810" t="str">
            <v>WA2501PT11IN</v>
          </cell>
          <cell r="BW810">
            <v>76</v>
          </cell>
        </row>
        <row r="811">
          <cell r="L811" t="str">
            <v>WA2501PT12BL</v>
          </cell>
          <cell r="BW811">
            <v>33</v>
          </cell>
        </row>
        <row r="812">
          <cell r="L812" t="str">
            <v>WA2501PT12BL</v>
          </cell>
          <cell r="BW812">
            <v>56</v>
          </cell>
        </row>
        <row r="813">
          <cell r="L813" t="str">
            <v>WA2501PT12BL</v>
          </cell>
          <cell r="BW813">
            <v>52</v>
          </cell>
        </row>
        <row r="814">
          <cell r="L814" t="str">
            <v>WA2501PT12BL</v>
          </cell>
          <cell r="BW814">
            <v>27</v>
          </cell>
        </row>
        <row r="815">
          <cell r="L815" t="str">
            <v>WA2501PT13SB</v>
          </cell>
          <cell r="BW815">
            <v>98</v>
          </cell>
        </row>
        <row r="816">
          <cell r="L816" t="str">
            <v>WA2501PT13SB</v>
          </cell>
          <cell r="BW816">
            <v>175</v>
          </cell>
        </row>
        <row r="817">
          <cell r="L817" t="str">
            <v>WA2501PT13SB</v>
          </cell>
          <cell r="BW817">
            <v>172</v>
          </cell>
        </row>
        <row r="818">
          <cell r="L818" t="str">
            <v>WA2501PT13SB</v>
          </cell>
          <cell r="BW818">
            <v>69</v>
          </cell>
        </row>
        <row r="819">
          <cell r="L819" t="str">
            <v>WA2501PT14BE</v>
          </cell>
          <cell r="BW819">
            <v>121</v>
          </cell>
        </row>
        <row r="820">
          <cell r="L820" t="str">
            <v>WA2501PT14BE</v>
          </cell>
          <cell r="BW820">
            <v>113</v>
          </cell>
        </row>
        <row r="821">
          <cell r="L821" t="str">
            <v>WA2501PT14BE</v>
          </cell>
          <cell r="BW821">
            <v>128</v>
          </cell>
        </row>
        <row r="822">
          <cell r="L822" t="str">
            <v>WA2501PT14BE</v>
          </cell>
          <cell r="BW822">
            <v>72</v>
          </cell>
        </row>
        <row r="823">
          <cell r="L823" t="str">
            <v>WA2501PT14BK</v>
          </cell>
          <cell r="BW823">
            <v>102</v>
          </cell>
        </row>
        <row r="824">
          <cell r="L824" t="str">
            <v>WA2501PT14BK</v>
          </cell>
          <cell r="BW824">
            <v>90</v>
          </cell>
        </row>
        <row r="825">
          <cell r="L825" t="str">
            <v>WA2501PT14BK</v>
          </cell>
          <cell r="BW825">
            <v>93</v>
          </cell>
        </row>
        <row r="826">
          <cell r="L826" t="str">
            <v>WA2501PT14BK</v>
          </cell>
          <cell r="BW826">
            <v>76</v>
          </cell>
        </row>
        <row r="827">
          <cell r="L827" t="str">
            <v>WA2501PT15BK</v>
          </cell>
          <cell r="BW827">
            <v>153</v>
          </cell>
        </row>
        <row r="828">
          <cell r="L828" t="str">
            <v>WA2501PT15BK</v>
          </cell>
          <cell r="BW828">
            <v>118</v>
          </cell>
        </row>
        <row r="829">
          <cell r="L829" t="str">
            <v>WA2501PT15BK</v>
          </cell>
          <cell r="BW829">
            <v>144</v>
          </cell>
        </row>
        <row r="830">
          <cell r="L830" t="str">
            <v>WA2501PT15BK</v>
          </cell>
          <cell r="BW830">
            <v>111</v>
          </cell>
        </row>
        <row r="831">
          <cell r="L831" t="str">
            <v>WA2501PT15KH</v>
          </cell>
          <cell r="BW831">
            <v>121</v>
          </cell>
        </row>
        <row r="832">
          <cell r="L832" t="str">
            <v>WA2501PT15KH</v>
          </cell>
          <cell r="BW832">
            <v>114</v>
          </cell>
        </row>
        <row r="833">
          <cell r="L833" t="str">
            <v>WA2501PT15KH</v>
          </cell>
          <cell r="BW833">
            <v>136</v>
          </cell>
        </row>
        <row r="834">
          <cell r="L834" t="str">
            <v>WA2501PT15KH</v>
          </cell>
          <cell r="BW834">
            <v>82</v>
          </cell>
        </row>
        <row r="835">
          <cell r="L835" t="str">
            <v>WA2501PT16IV</v>
          </cell>
          <cell r="BW835">
            <v>137</v>
          </cell>
        </row>
        <row r="836">
          <cell r="L836" t="str">
            <v>WA2501PT16IV</v>
          </cell>
          <cell r="BW836">
            <v>132</v>
          </cell>
        </row>
        <row r="837">
          <cell r="L837" t="str">
            <v>WA2501PT16IV</v>
          </cell>
          <cell r="BW837">
            <v>100</v>
          </cell>
        </row>
        <row r="838">
          <cell r="L838" t="str">
            <v>WA2501PT16IV</v>
          </cell>
          <cell r="BW838">
            <v>80</v>
          </cell>
        </row>
        <row r="839">
          <cell r="L839" t="str">
            <v>WA2501PT17CM</v>
          </cell>
          <cell r="BW839">
            <v>76</v>
          </cell>
        </row>
        <row r="840">
          <cell r="L840" t="str">
            <v>WA2501PT17CM</v>
          </cell>
          <cell r="BW840">
            <v>150</v>
          </cell>
        </row>
        <row r="841">
          <cell r="L841" t="str">
            <v>WA2501PT17CM</v>
          </cell>
          <cell r="BW841">
            <v>140</v>
          </cell>
        </row>
        <row r="842">
          <cell r="L842" t="str">
            <v>WA2501PT17CM</v>
          </cell>
          <cell r="BW842">
            <v>56</v>
          </cell>
        </row>
        <row r="843">
          <cell r="L843" t="str">
            <v>WA2501PT18BK</v>
          </cell>
          <cell r="BW843">
            <v>124</v>
          </cell>
        </row>
        <row r="844">
          <cell r="L844" t="str">
            <v>WA2501PT18BK</v>
          </cell>
          <cell r="BW844">
            <v>49</v>
          </cell>
        </row>
        <row r="845">
          <cell r="L845" t="str">
            <v>WA2501PT18BK</v>
          </cell>
          <cell r="BW845">
            <v>2</v>
          </cell>
        </row>
        <row r="846">
          <cell r="L846" t="str">
            <v>WA2501PT18BK</v>
          </cell>
          <cell r="BW846">
            <v>46</v>
          </cell>
        </row>
        <row r="847">
          <cell r="L847" t="str">
            <v>WA2501PT18BR</v>
          </cell>
          <cell r="BW847">
            <v>64</v>
          </cell>
        </row>
        <row r="848">
          <cell r="L848" t="str">
            <v>WA2501PT18BR</v>
          </cell>
          <cell r="BW848">
            <v>32</v>
          </cell>
        </row>
        <row r="849">
          <cell r="L849" t="str">
            <v>WA2501PT18BR</v>
          </cell>
          <cell r="BW849">
            <v>6</v>
          </cell>
        </row>
        <row r="850">
          <cell r="L850" t="str">
            <v>WA2501PT18BR</v>
          </cell>
          <cell r="BW850">
            <v>28</v>
          </cell>
        </row>
        <row r="851">
          <cell r="L851" t="str">
            <v>WA2501PT18IN</v>
          </cell>
          <cell r="BW851">
            <v>139</v>
          </cell>
        </row>
        <row r="852">
          <cell r="L852" t="str">
            <v>WA2501PT18IN</v>
          </cell>
          <cell r="BW852">
            <v>87</v>
          </cell>
        </row>
        <row r="853">
          <cell r="L853" t="str">
            <v>WA2501PT18IN</v>
          </cell>
          <cell r="BW853">
            <v>20</v>
          </cell>
        </row>
        <row r="854">
          <cell r="L854" t="str">
            <v>WA2501PT18IN</v>
          </cell>
          <cell r="BW854">
            <v>44</v>
          </cell>
        </row>
        <row r="855">
          <cell r="L855" t="str">
            <v>WA2501PT19BK</v>
          </cell>
          <cell r="BW855">
            <v>110</v>
          </cell>
        </row>
        <row r="856">
          <cell r="L856" t="str">
            <v>WA2501PT19BK</v>
          </cell>
          <cell r="BW856">
            <v>169</v>
          </cell>
        </row>
        <row r="857">
          <cell r="L857" t="str">
            <v>WA2501PT19BK</v>
          </cell>
          <cell r="BW857">
            <v>140</v>
          </cell>
        </row>
        <row r="858">
          <cell r="L858" t="str">
            <v>WA2501PT19BK</v>
          </cell>
          <cell r="BW858">
            <v>84</v>
          </cell>
        </row>
        <row r="859">
          <cell r="L859" t="str">
            <v>WA2501PT19GR</v>
          </cell>
          <cell r="BW859">
            <v>129</v>
          </cell>
        </row>
        <row r="860">
          <cell r="L860" t="str">
            <v>WA2501PT19GR</v>
          </cell>
          <cell r="BW860">
            <v>151</v>
          </cell>
        </row>
        <row r="861">
          <cell r="L861" t="str">
            <v>WA2501PT19GR</v>
          </cell>
          <cell r="BW861">
            <v>109</v>
          </cell>
        </row>
        <row r="862">
          <cell r="L862" t="str">
            <v>WA2501PT19GR</v>
          </cell>
          <cell r="BW862">
            <v>111</v>
          </cell>
        </row>
        <row r="863">
          <cell r="L863" t="str">
            <v>WA2501PT51BK</v>
          </cell>
          <cell r="BW863">
            <v>107</v>
          </cell>
        </row>
        <row r="864">
          <cell r="L864" t="str">
            <v>WA2501PT51BK</v>
          </cell>
          <cell r="BW864">
            <v>571</v>
          </cell>
        </row>
        <row r="865">
          <cell r="L865" t="str">
            <v>WA2501PT51OT</v>
          </cell>
          <cell r="BW865">
            <v>167</v>
          </cell>
        </row>
        <row r="866">
          <cell r="L866" t="str">
            <v>WA2501PT51OT</v>
          </cell>
          <cell r="BW866">
            <v>634</v>
          </cell>
        </row>
        <row r="867">
          <cell r="L867" t="str">
            <v>WA2501PT51PI</v>
          </cell>
          <cell r="BW867">
            <v>33</v>
          </cell>
        </row>
        <row r="868">
          <cell r="L868" t="str">
            <v>WA2501PT51PI</v>
          </cell>
          <cell r="BW868">
            <v>168</v>
          </cell>
        </row>
        <row r="869">
          <cell r="L869" t="str">
            <v>WA2501PT55BL</v>
          </cell>
          <cell r="BW869">
            <v>91</v>
          </cell>
        </row>
        <row r="870">
          <cell r="L870" t="str">
            <v>WA2501PT55BL</v>
          </cell>
          <cell r="BW870">
            <v>228</v>
          </cell>
        </row>
        <row r="871">
          <cell r="L871" t="str">
            <v>WA2501PT55GR</v>
          </cell>
          <cell r="BW871">
            <v>75</v>
          </cell>
        </row>
        <row r="872">
          <cell r="L872" t="str">
            <v>WA2501PT55GR</v>
          </cell>
          <cell r="BW872">
            <v>123</v>
          </cell>
        </row>
        <row r="873">
          <cell r="L873" t="str">
            <v>WA2501PT62CM</v>
          </cell>
          <cell r="BW873">
            <v>67</v>
          </cell>
        </row>
        <row r="874">
          <cell r="L874" t="str">
            <v>WA2501PT62CM</v>
          </cell>
          <cell r="BW874">
            <v>114</v>
          </cell>
        </row>
        <row r="875">
          <cell r="L875" t="str">
            <v>WA2501PT62SB</v>
          </cell>
          <cell r="BW875">
            <v>93</v>
          </cell>
        </row>
        <row r="876">
          <cell r="L876" t="str">
            <v>WA2501PT62SB</v>
          </cell>
          <cell r="BW876">
            <v>141</v>
          </cell>
        </row>
        <row r="877">
          <cell r="L877" t="str">
            <v>WA2501PT63BL</v>
          </cell>
          <cell r="BW877">
            <v>316</v>
          </cell>
        </row>
        <row r="878">
          <cell r="L878" t="str">
            <v>WA2501PT63BL</v>
          </cell>
          <cell r="BW878">
            <v>472</v>
          </cell>
        </row>
        <row r="879">
          <cell r="L879" t="str">
            <v>WA2501PT63LB</v>
          </cell>
          <cell r="BW879">
            <v>368</v>
          </cell>
        </row>
        <row r="880">
          <cell r="L880" t="str">
            <v>WA2501PT63LB</v>
          </cell>
          <cell r="BW880">
            <v>484</v>
          </cell>
        </row>
        <row r="881">
          <cell r="L881" t="str">
            <v>WA2501PT64CM</v>
          </cell>
          <cell r="BW881">
            <v>152</v>
          </cell>
        </row>
        <row r="882">
          <cell r="L882" t="str">
            <v>WA2501PT64CM</v>
          </cell>
          <cell r="BW882">
            <v>204</v>
          </cell>
        </row>
        <row r="883">
          <cell r="L883" t="str">
            <v>WA2501PT64LK</v>
          </cell>
          <cell r="BW883">
            <v>171</v>
          </cell>
        </row>
        <row r="884">
          <cell r="L884" t="str">
            <v>WA2501PT64LK</v>
          </cell>
          <cell r="BW884">
            <v>266</v>
          </cell>
        </row>
        <row r="885">
          <cell r="L885" t="str">
            <v>WA2501PT81BK</v>
          </cell>
          <cell r="BW885">
            <v>96</v>
          </cell>
        </row>
        <row r="886">
          <cell r="L886" t="str">
            <v>WA2501PT81BK</v>
          </cell>
          <cell r="BW886">
            <v>52</v>
          </cell>
        </row>
        <row r="887">
          <cell r="L887" t="str">
            <v>WA2501PT81BK</v>
          </cell>
          <cell r="BW887">
            <v>158</v>
          </cell>
        </row>
        <row r="888">
          <cell r="L888" t="str">
            <v>WA2501PT81CM</v>
          </cell>
          <cell r="BW888">
            <v>90</v>
          </cell>
        </row>
        <row r="889">
          <cell r="L889" t="str">
            <v>WA2501PT81CM</v>
          </cell>
          <cell r="BW889">
            <v>61</v>
          </cell>
        </row>
        <row r="890">
          <cell r="L890" t="str">
            <v>WA2501PT81CM</v>
          </cell>
          <cell r="BW890">
            <v>138</v>
          </cell>
        </row>
        <row r="891">
          <cell r="L891" t="str">
            <v>WA2501PT81GR</v>
          </cell>
          <cell r="BW891">
            <v>97</v>
          </cell>
        </row>
        <row r="892">
          <cell r="L892" t="str">
            <v>WA2501PT81GR</v>
          </cell>
          <cell r="BW892">
            <v>55</v>
          </cell>
        </row>
        <row r="893">
          <cell r="L893" t="str">
            <v>WA2501PT81GR</v>
          </cell>
          <cell r="BW893">
            <v>164</v>
          </cell>
        </row>
        <row r="894">
          <cell r="L894" t="str">
            <v>WA2501SE01BK</v>
          </cell>
          <cell r="BW894">
            <v>319</v>
          </cell>
        </row>
        <row r="895">
          <cell r="L895" t="str">
            <v>WA2501SE01BK</v>
          </cell>
          <cell r="BW895">
            <v>854</v>
          </cell>
        </row>
        <row r="896">
          <cell r="L896" t="str">
            <v>WA2501SE01BK</v>
          </cell>
          <cell r="BW896">
            <v>603</v>
          </cell>
        </row>
        <row r="897">
          <cell r="L897" t="str">
            <v>WA2501SE01BK</v>
          </cell>
          <cell r="BW897">
            <v>18</v>
          </cell>
        </row>
        <row r="898">
          <cell r="L898" t="str">
            <v>WA2501SE01BK</v>
          </cell>
          <cell r="BW898">
            <v>8</v>
          </cell>
        </row>
        <row r="899">
          <cell r="L899" t="str">
            <v>WA2501SE01BK</v>
          </cell>
          <cell r="BW899">
            <v>22</v>
          </cell>
        </row>
        <row r="900">
          <cell r="L900" t="str">
            <v>WA2501SE01BR</v>
          </cell>
          <cell r="BW900">
            <v>10</v>
          </cell>
        </row>
        <row r="901">
          <cell r="L901" t="str">
            <v>WA2501SE01BR</v>
          </cell>
          <cell r="BW901">
            <v>19</v>
          </cell>
        </row>
        <row r="902">
          <cell r="L902" t="str">
            <v>WA2501SE01BR</v>
          </cell>
          <cell r="BW902">
            <v>18</v>
          </cell>
        </row>
        <row r="903">
          <cell r="L903" t="str">
            <v>WA2501SE01BR</v>
          </cell>
          <cell r="BW903">
            <v>23</v>
          </cell>
        </row>
        <row r="904">
          <cell r="L904" t="str">
            <v>WA2501SE01BR</v>
          </cell>
          <cell r="BW904">
            <v>35</v>
          </cell>
        </row>
        <row r="905">
          <cell r="L905" t="str">
            <v>WA2501SE01BR</v>
          </cell>
          <cell r="BW905">
            <v>33</v>
          </cell>
        </row>
        <row r="906">
          <cell r="L906" t="str">
            <v>WA2501SE01EC</v>
          </cell>
          <cell r="BW906">
            <v>351</v>
          </cell>
        </row>
        <row r="907">
          <cell r="L907" t="str">
            <v>WA2501SE01EC</v>
          </cell>
          <cell r="BW907">
            <v>1087</v>
          </cell>
        </row>
        <row r="908">
          <cell r="L908" t="str">
            <v>WA2501SE01EC</v>
          </cell>
          <cell r="BW908">
            <v>531</v>
          </cell>
        </row>
        <row r="909">
          <cell r="L909" t="str">
            <v>WA2501SE01EC</v>
          </cell>
          <cell r="BW909">
            <v>57</v>
          </cell>
        </row>
        <row r="910">
          <cell r="L910" t="str">
            <v>WA2501SE01EC</v>
          </cell>
          <cell r="BW910">
            <v>32</v>
          </cell>
        </row>
        <row r="911">
          <cell r="L911" t="str">
            <v>WA2501SE01EC</v>
          </cell>
          <cell r="BW911">
            <v>104</v>
          </cell>
        </row>
        <row r="912">
          <cell r="L912" t="str">
            <v>WA2501SE01IV</v>
          </cell>
          <cell r="BW912">
            <v>112</v>
          </cell>
        </row>
        <row r="913">
          <cell r="L913" t="str">
            <v>WA2501SE01IV</v>
          </cell>
          <cell r="BW913">
            <v>583</v>
          </cell>
        </row>
        <row r="914">
          <cell r="L914" t="str">
            <v>WA2501SE01IV</v>
          </cell>
          <cell r="BW914">
            <v>353</v>
          </cell>
        </row>
        <row r="915">
          <cell r="L915" t="str">
            <v>WA2501SE01IV</v>
          </cell>
          <cell r="BW915">
            <v>60</v>
          </cell>
        </row>
        <row r="916">
          <cell r="L916" t="str">
            <v>WA2501SE01IV</v>
          </cell>
          <cell r="BW916">
            <v>28</v>
          </cell>
        </row>
        <row r="917">
          <cell r="L917" t="str">
            <v>WA2501SE01IV</v>
          </cell>
          <cell r="BW917">
            <v>84</v>
          </cell>
        </row>
        <row r="918">
          <cell r="L918" t="str">
            <v>WA2501SE01WH</v>
          </cell>
          <cell r="BW918">
            <v>482</v>
          </cell>
        </row>
        <row r="919">
          <cell r="L919" t="str">
            <v>WA2501SE01WH</v>
          </cell>
          <cell r="BW919">
            <v>1327</v>
          </cell>
        </row>
        <row r="920">
          <cell r="L920" t="str">
            <v>WA2501SE01WH</v>
          </cell>
          <cell r="BW920">
            <v>792</v>
          </cell>
        </row>
        <row r="921">
          <cell r="L921" t="str">
            <v>WA2501SE01WH</v>
          </cell>
          <cell r="BW921">
            <v>157</v>
          </cell>
        </row>
        <row r="922">
          <cell r="L922" t="str">
            <v>WA2501SE01WH</v>
          </cell>
          <cell r="BW922">
            <v>134</v>
          </cell>
        </row>
        <row r="923">
          <cell r="L923" t="str">
            <v>WA2501SE01WH</v>
          </cell>
          <cell r="BW923">
            <v>127</v>
          </cell>
        </row>
        <row r="924">
          <cell r="L924" t="str">
            <v>WA2501SE01YL</v>
          </cell>
          <cell r="BW924">
            <v>103</v>
          </cell>
        </row>
        <row r="925">
          <cell r="L925" t="str">
            <v>WA2501SE01YL</v>
          </cell>
          <cell r="BW925">
            <v>252</v>
          </cell>
        </row>
        <row r="926">
          <cell r="L926" t="str">
            <v>WA2501SE01YL</v>
          </cell>
          <cell r="BW926">
            <v>107</v>
          </cell>
        </row>
        <row r="927">
          <cell r="L927" t="str">
            <v>WA2501SE02BK</v>
          </cell>
          <cell r="BW927">
            <v>91</v>
          </cell>
        </row>
        <row r="928">
          <cell r="L928" t="str">
            <v>WA2501SE02BK</v>
          </cell>
          <cell r="BW928">
            <v>291</v>
          </cell>
        </row>
        <row r="929">
          <cell r="L929" t="str">
            <v>WA2501SE02BK</v>
          </cell>
          <cell r="BW929">
            <v>199</v>
          </cell>
        </row>
        <row r="930">
          <cell r="L930" t="str">
            <v>WA2501SE02BK</v>
          </cell>
          <cell r="BW930">
            <v>24</v>
          </cell>
        </row>
        <row r="931">
          <cell r="L931" t="str">
            <v>WA2501SE02BK</v>
          </cell>
          <cell r="BW931">
            <v>23</v>
          </cell>
        </row>
        <row r="932">
          <cell r="L932" t="str">
            <v>WA2501SE02BK</v>
          </cell>
          <cell r="BW932">
            <v>23</v>
          </cell>
        </row>
        <row r="933">
          <cell r="L933" t="str">
            <v>WA2501SE02WH</v>
          </cell>
          <cell r="BW933">
            <v>82</v>
          </cell>
        </row>
        <row r="934">
          <cell r="L934" t="str">
            <v>WA2501SE02WH</v>
          </cell>
          <cell r="BW934">
            <v>307</v>
          </cell>
        </row>
        <row r="935">
          <cell r="L935" t="str">
            <v>WA2501SE02WH</v>
          </cell>
          <cell r="BW935">
            <v>224</v>
          </cell>
        </row>
        <row r="936">
          <cell r="L936" t="str">
            <v>WA2501SE02WH</v>
          </cell>
          <cell r="BW936">
            <v>75</v>
          </cell>
        </row>
        <row r="937">
          <cell r="L937" t="str">
            <v>WA2501SE02WH</v>
          </cell>
          <cell r="BW937">
            <v>56</v>
          </cell>
        </row>
        <row r="938">
          <cell r="L938" t="str">
            <v>WA2501SE02WH</v>
          </cell>
          <cell r="BW938">
            <v>51</v>
          </cell>
        </row>
        <row r="939">
          <cell r="L939" t="str">
            <v>WA2501SE03BK</v>
          </cell>
          <cell r="BW939">
            <v>78</v>
          </cell>
        </row>
        <row r="940">
          <cell r="L940" t="str">
            <v>WA2501SE03BK</v>
          </cell>
          <cell r="BW940">
            <v>111</v>
          </cell>
        </row>
        <row r="941">
          <cell r="L941" t="str">
            <v>WA2501SE03BK</v>
          </cell>
          <cell r="BW941">
            <v>98</v>
          </cell>
        </row>
        <row r="942">
          <cell r="L942" t="str">
            <v>WA2501SE03LB</v>
          </cell>
          <cell r="BW942">
            <v>107</v>
          </cell>
        </row>
        <row r="943">
          <cell r="L943" t="str">
            <v>WA2501SE03LB</v>
          </cell>
          <cell r="BW943">
            <v>154</v>
          </cell>
        </row>
        <row r="944">
          <cell r="L944" t="str">
            <v>WA2501SE03LB</v>
          </cell>
          <cell r="BW944">
            <v>112</v>
          </cell>
        </row>
        <row r="945">
          <cell r="L945" t="str">
            <v>WA2501SE03SV</v>
          </cell>
          <cell r="BW945">
            <v>56</v>
          </cell>
        </row>
        <row r="946">
          <cell r="L946" t="str">
            <v>WA2501SE03SV</v>
          </cell>
          <cell r="BW946">
            <v>80</v>
          </cell>
        </row>
        <row r="947">
          <cell r="L947" t="str">
            <v>WA2501SE03SV</v>
          </cell>
          <cell r="BW947">
            <v>51</v>
          </cell>
        </row>
        <row r="948">
          <cell r="L948" t="str">
            <v>WA2501SE03WH</v>
          </cell>
          <cell r="BW948">
            <v>145</v>
          </cell>
        </row>
        <row r="949">
          <cell r="L949" t="str">
            <v>WA2501SE03WH</v>
          </cell>
          <cell r="BW949">
            <v>259</v>
          </cell>
        </row>
        <row r="950">
          <cell r="L950" t="str">
            <v>WA2501SE03WH</v>
          </cell>
          <cell r="BW950">
            <v>201</v>
          </cell>
        </row>
        <row r="951">
          <cell r="L951" t="str">
            <v>WA2501SH01BL</v>
          </cell>
          <cell r="BW951">
            <v>89</v>
          </cell>
        </row>
        <row r="952">
          <cell r="L952" t="str">
            <v>WA2501SH01BL</v>
          </cell>
          <cell r="BW952">
            <v>116</v>
          </cell>
        </row>
        <row r="953">
          <cell r="L953" t="str">
            <v>WA2501SH01BL</v>
          </cell>
          <cell r="BW953">
            <v>151</v>
          </cell>
        </row>
        <row r="954">
          <cell r="L954" t="str">
            <v>WA2501SH01BL</v>
          </cell>
          <cell r="BW954">
            <v>70</v>
          </cell>
        </row>
        <row r="955">
          <cell r="L955" t="str">
            <v>WA2501SH01WH</v>
          </cell>
          <cell r="BW955">
            <v>168</v>
          </cell>
        </row>
        <row r="956">
          <cell r="L956" t="str">
            <v>WA2501SH01WH</v>
          </cell>
          <cell r="BW956">
            <v>242</v>
          </cell>
        </row>
        <row r="957">
          <cell r="L957" t="str">
            <v>WA2501SH01WH</v>
          </cell>
          <cell r="BW957">
            <v>279</v>
          </cell>
        </row>
        <row r="958">
          <cell r="L958" t="str">
            <v>WA2501SH01WH</v>
          </cell>
          <cell r="BW958">
            <v>95</v>
          </cell>
        </row>
        <row r="959">
          <cell r="L959" t="str">
            <v>WA2501SH01YL</v>
          </cell>
          <cell r="BW959">
            <v>107</v>
          </cell>
        </row>
        <row r="960">
          <cell r="L960" t="str">
            <v>WA2501SH01YL</v>
          </cell>
          <cell r="BW960">
            <v>144</v>
          </cell>
        </row>
        <row r="961">
          <cell r="L961" t="str">
            <v>WA2501SH01YL</v>
          </cell>
          <cell r="BW961">
            <v>150</v>
          </cell>
        </row>
        <row r="962">
          <cell r="L962" t="str">
            <v>WA2501SH01YL</v>
          </cell>
          <cell r="BW962">
            <v>90</v>
          </cell>
        </row>
        <row r="963">
          <cell r="L963" t="str">
            <v>WA2501SH11BK</v>
          </cell>
          <cell r="BW963">
            <v>174</v>
          </cell>
        </row>
        <row r="964">
          <cell r="L964" t="str">
            <v>WA2501SH11BK</v>
          </cell>
          <cell r="BW964">
            <v>222</v>
          </cell>
        </row>
        <row r="965">
          <cell r="L965" t="str">
            <v>WA2501SH11BK</v>
          </cell>
          <cell r="BW965">
            <v>271</v>
          </cell>
        </row>
        <row r="966">
          <cell r="L966" t="str">
            <v>WA2501SH11BK</v>
          </cell>
          <cell r="BW966">
            <v>132</v>
          </cell>
        </row>
        <row r="967">
          <cell r="L967" t="str">
            <v>WA2501SH11BL</v>
          </cell>
          <cell r="BW967">
            <v>195</v>
          </cell>
        </row>
        <row r="968">
          <cell r="L968" t="str">
            <v>WA2501SH11BL</v>
          </cell>
          <cell r="BW968">
            <v>207</v>
          </cell>
        </row>
        <row r="969">
          <cell r="L969" t="str">
            <v>WA2501SH11BL</v>
          </cell>
          <cell r="BW969">
            <v>272</v>
          </cell>
        </row>
        <row r="970">
          <cell r="L970" t="str">
            <v>WA2501SH11BL</v>
          </cell>
          <cell r="BW970">
            <v>127</v>
          </cell>
        </row>
        <row r="971">
          <cell r="L971" t="str">
            <v>WA2501SH12BL</v>
          </cell>
          <cell r="BW971">
            <v>14</v>
          </cell>
        </row>
        <row r="972">
          <cell r="L972" t="str">
            <v>WA2501SH12BL</v>
          </cell>
          <cell r="BW972">
            <v>21</v>
          </cell>
        </row>
        <row r="973">
          <cell r="L973" t="str">
            <v>WA2501SH12BL</v>
          </cell>
          <cell r="BW973">
            <v>8</v>
          </cell>
        </row>
        <row r="974">
          <cell r="L974" t="str">
            <v>WA2501SH12BL</v>
          </cell>
          <cell r="BW974">
            <v>15</v>
          </cell>
        </row>
        <row r="975">
          <cell r="L975" t="str">
            <v>WA2501SH12YE</v>
          </cell>
          <cell r="BW975">
            <v>30</v>
          </cell>
        </row>
        <row r="976">
          <cell r="L976" t="str">
            <v>WA2501SH12YE</v>
          </cell>
          <cell r="BW976">
            <v>30</v>
          </cell>
        </row>
        <row r="977">
          <cell r="L977" t="str">
            <v>WA2501SH12YE</v>
          </cell>
          <cell r="BW977">
            <v>13</v>
          </cell>
        </row>
        <row r="978">
          <cell r="L978" t="str">
            <v>WA2501SH13BK</v>
          </cell>
          <cell r="BW978">
            <v>3</v>
          </cell>
        </row>
        <row r="979">
          <cell r="L979" t="str">
            <v>WA2501SH13BK</v>
          </cell>
          <cell r="BW979">
            <v>3</v>
          </cell>
        </row>
        <row r="980">
          <cell r="L980" t="str">
            <v>WA2501SH13BK</v>
          </cell>
          <cell r="BW980">
            <v>0</v>
          </cell>
        </row>
        <row r="981">
          <cell r="L981" t="str">
            <v>WA2501SH13BK</v>
          </cell>
          <cell r="BW981">
            <v>2</v>
          </cell>
        </row>
        <row r="982">
          <cell r="L982" t="str">
            <v>WA2501SH13PI</v>
          </cell>
          <cell r="BW982">
            <v>14</v>
          </cell>
        </row>
        <row r="983">
          <cell r="L983" t="str">
            <v>WA2501SH13PI</v>
          </cell>
          <cell r="BW983">
            <v>24</v>
          </cell>
        </row>
        <row r="984">
          <cell r="L984" t="str">
            <v>WA2501SH13PI</v>
          </cell>
          <cell r="BW984">
            <v>14</v>
          </cell>
        </row>
        <row r="985">
          <cell r="L985" t="str">
            <v>WA2501SH14CH</v>
          </cell>
          <cell r="BW985">
            <v>154</v>
          </cell>
        </row>
        <row r="986">
          <cell r="L986" t="str">
            <v>WA2501SH14CH</v>
          </cell>
          <cell r="BW986">
            <v>200</v>
          </cell>
        </row>
        <row r="987">
          <cell r="L987" t="str">
            <v>WA2501SH14CH</v>
          </cell>
          <cell r="BW987">
            <v>123</v>
          </cell>
        </row>
        <row r="988">
          <cell r="L988" t="str">
            <v>WA2501SH14CH</v>
          </cell>
          <cell r="BW988">
            <v>102</v>
          </cell>
        </row>
        <row r="989">
          <cell r="L989" t="str">
            <v>WA2501SH14KH</v>
          </cell>
          <cell r="BW989">
            <v>73</v>
          </cell>
        </row>
        <row r="990">
          <cell r="L990" t="str">
            <v>WA2501SH14KH</v>
          </cell>
          <cell r="BW990">
            <v>114</v>
          </cell>
        </row>
        <row r="991">
          <cell r="L991" t="str">
            <v>WA2501SH14KH</v>
          </cell>
          <cell r="BW991">
            <v>148</v>
          </cell>
        </row>
        <row r="992">
          <cell r="L992" t="str">
            <v>WA2501SH61CM</v>
          </cell>
          <cell r="BW992">
            <v>233</v>
          </cell>
        </row>
        <row r="993">
          <cell r="L993" t="str">
            <v>WA2501SH61SB</v>
          </cell>
          <cell r="BW993">
            <v>346</v>
          </cell>
        </row>
        <row r="994">
          <cell r="L994" t="str">
            <v>WA2501SN01BK</v>
          </cell>
          <cell r="BW994">
            <v>53</v>
          </cell>
        </row>
        <row r="995">
          <cell r="L995" t="str">
            <v>WA2501SN01BK</v>
          </cell>
          <cell r="BW995">
            <v>28</v>
          </cell>
        </row>
        <row r="996">
          <cell r="L996" t="str">
            <v>WA2501SN01BK</v>
          </cell>
          <cell r="BW996">
            <v>14</v>
          </cell>
        </row>
        <row r="997">
          <cell r="L997" t="str">
            <v>WA2501SN01BK</v>
          </cell>
          <cell r="BW997">
            <v>26</v>
          </cell>
        </row>
        <row r="998">
          <cell r="L998" t="str">
            <v>WA2501SN01BK</v>
          </cell>
          <cell r="BW998">
            <v>55</v>
          </cell>
        </row>
        <row r="999">
          <cell r="L999" t="str">
            <v>WA2501SN01BK</v>
          </cell>
          <cell r="BW999">
            <v>17</v>
          </cell>
        </row>
        <row r="1000">
          <cell r="L1000" t="str">
            <v>WA2501SN01GN</v>
          </cell>
          <cell r="BW1000">
            <v>68</v>
          </cell>
        </row>
        <row r="1001">
          <cell r="L1001" t="str">
            <v>WA2501SN01GN</v>
          </cell>
          <cell r="BW1001">
            <v>126</v>
          </cell>
        </row>
        <row r="1002">
          <cell r="L1002" t="str">
            <v>WA2501SN01GN</v>
          </cell>
          <cell r="BW1002">
            <v>10</v>
          </cell>
        </row>
        <row r="1003">
          <cell r="L1003" t="str">
            <v>WA2501SN01GN</v>
          </cell>
          <cell r="BW1003">
            <v>20</v>
          </cell>
        </row>
        <row r="1004">
          <cell r="L1004" t="str">
            <v>WA2501SN01GN</v>
          </cell>
          <cell r="BW1004">
            <v>11</v>
          </cell>
        </row>
        <row r="1005">
          <cell r="L1005" t="str">
            <v>WA2501SN01GN</v>
          </cell>
          <cell r="BW1005">
            <v>11</v>
          </cell>
        </row>
        <row r="1006">
          <cell r="L1006" t="str">
            <v>WA2501SN01GR</v>
          </cell>
          <cell r="BW1006">
            <v>128</v>
          </cell>
        </row>
        <row r="1007">
          <cell r="L1007" t="str">
            <v>WA2501SN01GR</v>
          </cell>
          <cell r="BW1007">
            <v>59</v>
          </cell>
        </row>
        <row r="1008">
          <cell r="L1008" t="str">
            <v>WA2501SN01GR</v>
          </cell>
          <cell r="BW1008">
            <v>11</v>
          </cell>
        </row>
        <row r="1009">
          <cell r="L1009" t="str">
            <v>WA2501SN01GR</v>
          </cell>
          <cell r="BW1009">
            <v>52</v>
          </cell>
        </row>
        <row r="1010">
          <cell r="L1010" t="str">
            <v>WA2501SN01GR</v>
          </cell>
          <cell r="BW1010">
            <v>39</v>
          </cell>
        </row>
        <row r="1011">
          <cell r="L1011" t="str">
            <v>WA2501SN01GR</v>
          </cell>
          <cell r="BW1011">
            <v>24</v>
          </cell>
        </row>
        <row r="1012">
          <cell r="L1012" t="str">
            <v>WA2501SN01WH</v>
          </cell>
          <cell r="BW1012">
            <v>125</v>
          </cell>
        </row>
        <row r="1013">
          <cell r="L1013" t="str">
            <v>WA2501SN01WH</v>
          </cell>
          <cell r="BW1013">
            <v>35</v>
          </cell>
        </row>
        <row r="1014">
          <cell r="L1014" t="str">
            <v>WA2501SN01WH</v>
          </cell>
          <cell r="BW1014">
            <v>12</v>
          </cell>
        </row>
        <row r="1015">
          <cell r="L1015" t="str">
            <v>WA2501SN01WH</v>
          </cell>
          <cell r="BW1015">
            <v>44</v>
          </cell>
        </row>
        <row r="1016">
          <cell r="L1016" t="str">
            <v>WA2501SN01WH</v>
          </cell>
          <cell r="BW1016">
            <v>32</v>
          </cell>
        </row>
        <row r="1017">
          <cell r="L1017" t="str">
            <v>WA2501SN01WH</v>
          </cell>
          <cell r="BW1017">
            <v>24</v>
          </cell>
        </row>
        <row r="1018">
          <cell r="L1018" t="str">
            <v>WA2501SN02BK</v>
          </cell>
          <cell r="BW1018">
            <v>68</v>
          </cell>
        </row>
        <row r="1019">
          <cell r="L1019" t="str">
            <v>WA2501SN02BK</v>
          </cell>
          <cell r="BW1019">
            <v>93</v>
          </cell>
        </row>
        <row r="1020">
          <cell r="L1020" t="str">
            <v>WA2501SN02BK</v>
          </cell>
          <cell r="BW1020">
            <v>39</v>
          </cell>
        </row>
        <row r="1021">
          <cell r="L1021" t="str">
            <v>WA2501SN02EC</v>
          </cell>
          <cell r="BW1021">
            <v>50</v>
          </cell>
        </row>
        <row r="1022">
          <cell r="L1022" t="str">
            <v>WA2501SN02EC</v>
          </cell>
          <cell r="BW1022">
            <v>49</v>
          </cell>
        </row>
        <row r="1023">
          <cell r="L1023" t="str">
            <v>WA2501SN02EC</v>
          </cell>
          <cell r="BW1023">
            <v>81</v>
          </cell>
        </row>
        <row r="1024">
          <cell r="L1024" t="str">
            <v>WA2501SN02EC</v>
          </cell>
          <cell r="BW1024">
            <v>92</v>
          </cell>
        </row>
        <row r="1025">
          <cell r="L1025" t="str">
            <v>WA2501SN02EC</v>
          </cell>
          <cell r="BW1025">
            <v>30</v>
          </cell>
        </row>
        <row r="1026">
          <cell r="L1026" t="str">
            <v>WA2501SN02GN</v>
          </cell>
          <cell r="BW1026">
            <v>80</v>
          </cell>
        </row>
        <row r="1027">
          <cell r="L1027" t="str">
            <v>WA2501SN02GN</v>
          </cell>
          <cell r="BW1027">
            <v>59</v>
          </cell>
        </row>
        <row r="1028">
          <cell r="L1028" t="str">
            <v>WA2501SN02GN</v>
          </cell>
          <cell r="BW1028">
            <v>92</v>
          </cell>
        </row>
        <row r="1029">
          <cell r="L1029" t="str">
            <v>WA2501SN02GN</v>
          </cell>
          <cell r="BW1029">
            <v>18</v>
          </cell>
        </row>
        <row r="1030">
          <cell r="L1030" t="str">
            <v>WA2501SN03BR</v>
          </cell>
          <cell r="BW1030">
            <v>56</v>
          </cell>
        </row>
        <row r="1031">
          <cell r="L1031" t="str">
            <v>WA2501SN03BR</v>
          </cell>
          <cell r="BW1031">
            <v>92</v>
          </cell>
        </row>
        <row r="1032">
          <cell r="L1032" t="str">
            <v>WA2501SN03BR</v>
          </cell>
          <cell r="BW1032">
            <v>72</v>
          </cell>
        </row>
        <row r="1033">
          <cell r="L1033" t="str">
            <v>WA2501SN03BR</v>
          </cell>
          <cell r="BW1033">
            <v>47</v>
          </cell>
        </row>
        <row r="1034">
          <cell r="L1034" t="str">
            <v>WA2501SN03BR</v>
          </cell>
          <cell r="BW1034">
            <v>78</v>
          </cell>
        </row>
        <row r="1035">
          <cell r="L1035" t="str">
            <v>WA2501SN03BR</v>
          </cell>
          <cell r="BW1035">
            <v>42</v>
          </cell>
        </row>
        <row r="1036">
          <cell r="L1036" t="str">
            <v>WA2501SN03CE</v>
          </cell>
          <cell r="BW1036">
            <v>80</v>
          </cell>
        </row>
        <row r="1037">
          <cell r="L1037" t="str">
            <v>WA2501SN03CE</v>
          </cell>
          <cell r="BW1037">
            <v>153</v>
          </cell>
        </row>
        <row r="1038">
          <cell r="L1038" t="str">
            <v>WA2501SN03CE</v>
          </cell>
          <cell r="BW1038">
            <v>56</v>
          </cell>
        </row>
        <row r="1039">
          <cell r="L1039" t="str">
            <v>WA2501SN03CE</v>
          </cell>
          <cell r="BW1039">
            <v>86</v>
          </cell>
        </row>
        <row r="1040">
          <cell r="L1040" t="str">
            <v>WA2501SN03CE</v>
          </cell>
          <cell r="BW1040">
            <v>109</v>
          </cell>
        </row>
        <row r="1041">
          <cell r="L1041" t="str">
            <v>WA2501SN03CE</v>
          </cell>
          <cell r="BW1041">
            <v>61</v>
          </cell>
        </row>
        <row r="1042">
          <cell r="L1042" t="str">
            <v>WA2501SN03EC</v>
          </cell>
          <cell r="BW1042">
            <v>88</v>
          </cell>
        </row>
        <row r="1043">
          <cell r="L1043" t="str">
            <v>WA2501SN03EC</v>
          </cell>
          <cell r="BW1043">
            <v>242</v>
          </cell>
        </row>
        <row r="1044">
          <cell r="L1044" t="str">
            <v>WA2501SN03EC</v>
          </cell>
          <cell r="BW1044">
            <v>151</v>
          </cell>
        </row>
        <row r="1045">
          <cell r="L1045" t="str">
            <v>WA2501SN03EC</v>
          </cell>
          <cell r="BW1045">
            <v>144</v>
          </cell>
        </row>
        <row r="1046">
          <cell r="L1046" t="str">
            <v>WA2501SN03EC</v>
          </cell>
          <cell r="BW1046">
            <v>191</v>
          </cell>
        </row>
        <row r="1047">
          <cell r="L1047" t="str">
            <v>WA2501SN03EC</v>
          </cell>
          <cell r="BW1047">
            <v>130</v>
          </cell>
        </row>
        <row r="1048">
          <cell r="L1048" t="str">
            <v>WA2501SN03LB</v>
          </cell>
          <cell r="BW1048">
            <v>103</v>
          </cell>
        </row>
        <row r="1049">
          <cell r="L1049" t="str">
            <v>WA2501SN03LB</v>
          </cell>
          <cell r="BW1049">
            <v>79</v>
          </cell>
        </row>
        <row r="1050">
          <cell r="L1050" t="str">
            <v>WA2501SN03LB</v>
          </cell>
          <cell r="BW1050">
            <v>44</v>
          </cell>
        </row>
        <row r="1051">
          <cell r="L1051" t="str">
            <v>WA2501SN04BK</v>
          </cell>
          <cell r="BW1051">
            <v>273</v>
          </cell>
        </row>
        <row r="1052">
          <cell r="L1052" t="str">
            <v>WA2501SN04BK</v>
          </cell>
          <cell r="BW1052">
            <v>340</v>
          </cell>
        </row>
        <row r="1053">
          <cell r="L1053" t="str">
            <v>WA2501SN04BK</v>
          </cell>
          <cell r="BW1053">
            <v>240</v>
          </cell>
        </row>
        <row r="1054">
          <cell r="L1054" t="str">
            <v>WA2501SN04BK</v>
          </cell>
          <cell r="BW1054">
            <v>175</v>
          </cell>
        </row>
        <row r="1055">
          <cell r="L1055" t="str">
            <v>WA2501SN04BK</v>
          </cell>
          <cell r="BW1055">
            <v>107</v>
          </cell>
        </row>
        <row r="1056">
          <cell r="L1056" t="str">
            <v>WA2501SN04BK</v>
          </cell>
          <cell r="BW1056">
            <v>125</v>
          </cell>
        </row>
        <row r="1057">
          <cell r="L1057" t="str">
            <v>WA2501SN04SV</v>
          </cell>
          <cell r="BW1057">
            <v>172</v>
          </cell>
        </row>
        <row r="1058">
          <cell r="L1058" t="str">
            <v>WA2501SN04SV</v>
          </cell>
          <cell r="BW1058">
            <v>254</v>
          </cell>
        </row>
        <row r="1059">
          <cell r="L1059" t="str">
            <v>WA2501SN04SV</v>
          </cell>
          <cell r="BW1059">
            <v>29</v>
          </cell>
        </row>
        <row r="1060">
          <cell r="L1060" t="str">
            <v>WA2501SN81BK</v>
          </cell>
          <cell r="BW1060">
            <v>43</v>
          </cell>
        </row>
        <row r="1061">
          <cell r="L1061" t="str">
            <v>WA2501SN81BK</v>
          </cell>
          <cell r="BW1061">
            <v>64</v>
          </cell>
        </row>
        <row r="1062">
          <cell r="L1062" t="str">
            <v>WA2501SN81BK</v>
          </cell>
          <cell r="BW1062">
            <v>40</v>
          </cell>
        </row>
        <row r="1063">
          <cell r="L1063" t="str">
            <v>WA2501SN81SV</v>
          </cell>
          <cell r="BW1063">
            <v>20</v>
          </cell>
        </row>
        <row r="1064">
          <cell r="L1064" t="str">
            <v>WA2501SN81SV</v>
          </cell>
          <cell r="BW1064">
            <v>22</v>
          </cell>
        </row>
        <row r="1065">
          <cell r="L1065" t="str">
            <v>WA2501SN81SV</v>
          </cell>
          <cell r="BW1065">
            <v>8</v>
          </cell>
        </row>
        <row r="1066">
          <cell r="L1066" t="str">
            <v>WA2501SR61BK</v>
          </cell>
          <cell r="BW1066">
            <v>117</v>
          </cell>
        </row>
        <row r="1067">
          <cell r="L1067" t="str">
            <v>WA2501SR61BK</v>
          </cell>
          <cell r="BW1067">
            <v>254</v>
          </cell>
        </row>
        <row r="1068">
          <cell r="L1068" t="str">
            <v>WA2501SR61BL</v>
          </cell>
          <cell r="BW1068">
            <v>106</v>
          </cell>
        </row>
        <row r="1069">
          <cell r="L1069" t="str">
            <v>WA2501SR61BL</v>
          </cell>
          <cell r="BW1069">
            <v>211</v>
          </cell>
        </row>
        <row r="1070">
          <cell r="L1070" t="str">
            <v>WA2501TC01BK</v>
          </cell>
          <cell r="BW1070">
            <v>251</v>
          </cell>
        </row>
        <row r="1071">
          <cell r="L1071" t="str">
            <v>WA2501TC01YL</v>
          </cell>
          <cell r="BW1071">
            <v>205</v>
          </cell>
        </row>
        <row r="1072">
          <cell r="L1072" t="str">
            <v>WA2501TC02BK</v>
          </cell>
          <cell r="BW1072">
            <v>87</v>
          </cell>
        </row>
        <row r="1073">
          <cell r="L1073" t="str">
            <v>WA2501TC02YL</v>
          </cell>
          <cell r="BW1073">
            <v>40</v>
          </cell>
        </row>
        <row r="1074">
          <cell r="L1074" t="str">
            <v>WA2501TC03BK</v>
          </cell>
          <cell r="BW1074">
            <v>185</v>
          </cell>
        </row>
        <row r="1075">
          <cell r="L1075" t="str">
            <v>WA2501TC03BL</v>
          </cell>
          <cell r="BW1075">
            <v>103</v>
          </cell>
        </row>
        <row r="1076">
          <cell r="L1076" t="str">
            <v>WA2501TC03PI</v>
          </cell>
          <cell r="BW1076">
            <v>154</v>
          </cell>
        </row>
        <row r="1077">
          <cell r="L1077" t="str">
            <v>WA2501TC04BK</v>
          </cell>
          <cell r="BW1077">
            <v>790</v>
          </cell>
        </row>
        <row r="1078">
          <cell r="L1078" t="str">
            <v>WA2501TC04PU</v>
          </cell>
          <cell r="BW1078">
            <v>809</v>
          </cell>
        </row>
        <row r="1079">
          <cell r="L1079" t="str">
            <v>WA2501TC05RD</v>
          </cell>
          <cell r="BW1079">
            <v>146</v>
          </cell>
        </row>
        <row r="1080">
          <cell r="L1080" t="str">
            <v>WA2501TC08YL</v>
          </cell>
          <cell r="BW1080">
            <v>778</v>
          </cell>
        </row>
        <row r="1081">
          <cell r="L1081" t="str">
            <v>WA2501TC09BL</v>
          </cell>
          <cell r="BW1081">
            <v>212</v>
          </cell>
        </row>
        <row r="1082">
          <cell r="L1082" t="str">
            <v>WA2501TC09YL</v>
          </cell>
          <cell r="BW1082">
            <v>221</v>
          </cell>
        </row>
        <row r="1083">
          <cell r="L1083" t="str">
            <v>WA2501TC11BK</v>
          </cell>
          <cell r="BW1083">
            <v>554</v>
          </cell>
        </row>
        <row r="1084">
          <cell r="L1084" t="str">
            <v>WA2501TC11BL</v>
          </cell>
          <cell r="BW1084">
            <v>833</v>
          </cell>
        </row>
        <row r="1085">
          <cell r="L1085" t="str">
            <v>WA2501TC12BL</v>
          </cell>
          <cell r="BW1085">
            <v>1200</v>
          </cell>
        </row>
        <row r="1086">
          <cell r="L1086" t="str">
            <v>WA2501TC13TC</v>
          </cell>
          <cell r="BW1086">
            <v>92</v>
          </cell>
        </row>
        <row r="1087">
          <cell r="L1087" t="str">
            <v>WA2501TC14WH</v>
          </cell>
          <cell r="BW1087">
            <v>119</v>
          </cell>
        </row>
        <row r="1088">
          <cell r="L1088" t="str">
            <v>WA2501TC14WH</v>
          </cell>
          <cell r="BW1088">
            <v>371</v>
          </cell>
        </row>
        <row r="1089">
          <cell r="L1089" t="str">
            <v>WA2501TC15WH</v>
          </cell>
          <cell r="BW1089">
            <v>1291</v>
          </cell>
        </row>
        <row r="1090">
          <cell r="L1090" t="str">
            <v>WA2501TC16WH</v>
          </cell>
          <cell r="BW1090">
            <v>112</v>
          </cell>
        </row>
        <row r="1091">
          <cell r="L1091" t="str">
            <v>WA2501TC16WH</v>
          </cell>
          <cell r="BW1091">
            <v>516</v>
          </cell>
        </row>
        <row r="1092">
          <cell r="L1092" t="str">
            <v>WA2501TC19TC</v>
          </cell>
          <cell r="BW1092">
            <v>118</v>
          </cell>
        </row>
        <row r="1093">
          <cell r="L1093" t="str">
            <v>WA2501TC20BE</v>
          </cell>
          <cell r="BW1093">
            <v>276</v>
          </cell>
        </row>
        <row r="1094">
          <cell r="L1094" t="str">
            <v>WA2501TC20BK</v>
          </cell>
          <cell r="BW1094">
            <v>128</v>
          </cell>
        </row>
        <row r="1095">
          <cell r="L1095" t="str">
            <v>WA2501TC20RD</v>
          </cell>
          <cell r="BW1095">
            <v>188</v>
          </cell>
        </row>
        <row r="1096">
          <cell r="L1096" t="str">
            <v>WA2501TC20SB</v>
          </cell>
          <cell r="BW1096">
            <v>171</v>
          </cell>
        </row>
        <row r="1097">
          <cell r="L1097" t="str">
            <v>WA2501TC21BK</v>
          </cell>
          <cell r="BW1097">
            <v>314</v>
          </cell>
        </row>
        <row r="1098">
          <cell r="L1098" t="str">
            <v>WA2501TC21RD</v>
          </cell>
          <cell r="BW1098">
            <v>359</v>
          </cell>
        </row>
        <row r="1099">
          <cell r="L1099" t="str">
            <v>WA2501TC21YL</v>
          </cell>
          <cell r="BW1099">
            <v>350</v>
          </cell>
        </row>
        <row r="1100">
          <cell r="L1100" t="str">
            <v>WA2501TC22PI</v>
          </cell>
          <cell r="BW1100">
            <v>420</v>
          </cell>
        </row>
        <row r="1101">
          <cell r="L1101" t="str">
            <v>WA2501TC22PU</v>
          </cell>
          <cell r="BW1101">
            <v>387</v>
          </cell>
        </row>
        <row r="1102">
          <cell r="L1102" t="str">
            <v>WA2501TC23BK</v>
          </cell>
          <cell r="BW1102">
            <v>456</v>
          </cell>
        </row>
        <row r="1103">
          <cell r="L1103" t="str">
            <v>WA2501TC23PU</v>
          </cell>
          <cell r="BW1103">
            <v>433</v>
          </cell>
        </row>
        <row r="1104">
          <cell r="L1104" t="str">
            <v>WA2501TC24PU</v>
          </cell>
          <cell r="BW1104">
            <v>444</v>
          </cell>
        </row>
        <row r="1105">
          <cell r="L1105" t="str">
            <v>WA2501TC24WH</v>
          </cell>
          <cell r="BW1105">
            <v>188</v>
          </cell>
        </row>
        <row r="1106">
          <cell r="L1106" t="str">
            <v>WA2501TC24YL</v>
          </cell>
          <cell r="BW1106">
            <v>190</v>
          </cell>
        </row>
        <row r="1107">
          <cell r="L1107" t="str">
            <v>WA2501TC25YL</v>
          </cell>
          <cell r="BW1107">
            <v>1105</v>
          </cell>
        </row>
        <row r="1108">
          <cell r="L1108" t="str">
            <v>WA2501TC26TC</v>
          </cell>
          <cell r="BW1108">
            <v>1354</v>
          </cell>
        </row>
        <row r="1109">
          <cell r="L1109" t="str">
            <v>WA2501TC27YL</v>
          </cell>
          <cell r="BW1109">
            <v>84</v>
          </cell>
        </row>
        <row r="1110">
          <cell r="L1110" t="str">
            <v>WA2501TC28MI</v>
          </cell>
          <cell r="BW1110">
            <v>617</v>
          </cell>
        </row>
        <row r="1111">
          <cell r="L1111" t="str">
            <v>WA2501TC28PI</v>
          </cell>
          <cell r="BW1111">
            <v>746</v>
          </cell>
        </row>
        <row r="1112">
          <cell r="L1112" t="str">
            <v>WA2501TC29TC</v>
          </cell>
          <cell r="BW1112">
            <v>1693</v>
          </cell>
        </row>
        <row r="1113">
          <cell r="L1113" t="str">
            <v>WA2501TC30TC</v>
          </cell>
          <cell r="BW1113">
            <v>698</v>
          </cell>
        </row>
        <row r="1114">
          <cell r="L1114" t="str">
            <v>WA2501TC31TC</v>
          </cell>
          <cell r="BW1114">
            <v>778</v>
          </cell>
        </row>
        <row r="1115">
          <cell r="L1115" t="str">
            <v>WA2501TC32BL</v>
          </cell>
          <cell r="BW1115">
            <v>946</v>
          </cell>
        </row>
        <row r="1116">
          <cell r="L1116" t="str">
            <v>WA2501TC32WH</v>
          </cell>
          <cell r="BW1116">
            <v>935</v>
          </cell>
        </row>
        <row r="1117">
          <cell r="L1117" t="str">
            <v>WA2501TC33BR</v>
          </cell>
          <cell r="BW1117">
            <v>854</v>
          </cell>
        </row>
        <row r="1118">
          <cell r="L1118" t="str">
            <v>WA2501TC34BK</v>
          </cell>
          <cell r="BW1118">
            <v>713</v>
          </cell>
        </row>
        <row r="1119">
          <cell r="L1119" t="str">
            <v>WA2501TC34NA</v>
          </cell>
          <cell r="BW1119">
            <v>684</v>
          </cell>
        </row>
        <row r="1120">
          <cell r="L1120" t="str">
            <v>WA2501TC34YL</v>
          </cell>
          <cell r="BW1120">
            <v>806</v>
          </cell>
        </row>
        <row r="1121">
          <cell r="L1121" t="str">
            <v>WA2501TC35TC</v>
          </cell>
          <cell r="BW1121">
            <v>17</v>
          </cell>
        </row>
        <row r="1122">
          <cell r="L1122" t="str">
            <v>WA2501TC36TC</v>
          </cell>
          <cell r="BW1122">
            <v>366</v>
          </cell>
        </row>
        <row r="1123">
          <cell r="L1123" t="str">
            <v>WA2501TC37BL</v>
          </cell>
          <cell r="BW1123">
            <v>259</v>
          </cell>
        </row>
        <row r="1124">
          <cell r="L1124" t="str">
            <v>WA2501TC37GN</v>
          </cell>
          <cell r="BW1124">
            <v>248</v>
          </cell>
        </row>
        <row r="1125">
          <cell r="L1125" t="str">
            <v>WA2501TC37RD</v>
          </cell>
          <cell r="BW1125">
            <v>264</v>
          </cell>
        </row>
        <row r="1126">
          <cell r="L1126" t="str">
            <v>WA2501TC37YL</v>
          </cell>
          <cell r="BW1126">
            <v>255</v>
          </cell>
        </row>
        <row r="1127">
          <cell r="L1127" t="str">
            <v>WA2501TC38BL</v>
          </cell>
          <cell r="BW1127">
            <v>138</v>
          </cell>
        </row>
        <row r="1128">
          <cell r="L1128" t="str">
            <v>WA2501TC38PI</v>
          </cell>
          <cell r="BW1128">
            <v>393</v>
          </cell>
        </row>
        <row r="1129">
          <cell r="L1129" t="str">
            <v>WA2501TC38WH</v>
          </cell>
          <cell r="BW1129">
            <v>283</v>
          </cell>
        </row>
        <row r="1130">
          <cell r="L1130" t="str">
            <v>WA2501TC39BL</v>
          </cell>
          <cell r="BW1130">
            <v>278</v>
          </cell>
        </row>
        <row r="1131">
          <cell r="L1131" t="str">
            <v>WA2501TC39OR</v>
          </cell>
          <cell r="BW1131">
            <v>282</v>
          </cell>
        </row>
        <row r="1132">
          <cell r="L1132" t="str">
            <v>WA2501TC39YL</v>
          </cell>
          <cell r="BW1132">
            <v>204</v>
          </cell>
        </row>
        <row r="1133">
          <cell r="L1133" t="str">
            <v>WA2501TC81IN</v>
          </cell>
          <cell r="BW1133">
            <v>72</v>
          </cell>
        </row>
        <row r="1134">
          <cell r="L1134" t="str">
            <v>WA2502CD63DN</v>
          </cell>
          <cell r="BW1134">
            <v>19</v>
          </cell>
        </row>
        <row r="1135">
          <cell r="L1135" t="str">
            <v>WA2502CD63DN</v>
          </cell>
          <cell r="BW1135">
            <v>135</v>
          </cell>
        </row>
        <row r="1136">
          <cell r="L1136" t="str">
            <v>WA2502CD63SB</v>
          </cell>
          <cell r="BW1136">
            <v>31</v>
          </cell>
        </row>
        <row r="1137">
          <cell r="L1137" t="str">
            <v>WA2502CD63SB</v>
          </cell>
          <cell r="BW1137">
            <v>77</v>
          </cell>
        </row>
        <row r="1138">
          <cell r="L1138" t="str">
            <v>WA2502CD63WH</v>
          </cell>
          <cell r="BW1138">
            <v>2</v>
          </cell>
        </row>
        <row r="1139">
          <cell r="L1139" t="str">
            <v>WA2502CD63WH</v>
          </cell>
          <cell r="BW1139">
            <v>19</v>
          </cell>
        </row>
        <row r="1140">
          <cell r="L1140" t="str">
            <v>WA2502CRL5CM</v>
          </cell>
          <cell r="BW1140">
            <v>26</v>
          </cell>
        </row>
        <row r="1141">
          <cell r="L1141" t="str">
            <v>WA2502CRL5CM</v>
          </cell>
          <cell r="BW1141">
            <v>26</v>
          </cell>
        </row>
        <row r="1142">
          <cell r="L1142" t="str">
            <v>WA2502CRL5NA</v>
          </cell>
          <cell r="BW1142">
            <v>16</v>
          </cell>
        </row>
        <row r="1143">
          <cell r="L1143" t="str">
            <v>WA2502CRL5NA</v>
          </cell>
          <cell r="BW1143">
            <v>28</v>
          </cell>
        </row>
        <row r="1144">
          <cell r="L1144" t="str">
            <v>WA2502HDL1BL</v>
          </cell>
          <cell r="BW1144">
            <v>39</v>
          </cell>
        </row>
        <row r="1145">
          <cell r="L1145" t="str">
            <v>WA2502HDL1BL</v>
          </cell>
          <cell r="BW1145">
            <v>51</v>
          </cell>
        </row>
        <row r="1146">
          <cell r="L1146" t="str">
            <v>WA2502HDL1BL</v>
          </cell>
          <cell r="BW1146">
            <v>70</v>
          </cell>
        </row>
        <row r="1147">
          <cell r="L1147" t="str">
            <v>WA2502HDL1CM</v>
          </cell>
          <cell r="BW1147">
            <v>74</v>
          </cell>
        </row>
        <row r="1148">
          <cell r="L1148" t="str">
            <v>WA2502HDL1CM</v>
          </cell>
          <cell r="BW1148">
            <v>98</v>
          </cell>
        </row>
        <row r="1149">
          <cell r="L1149" t="str">
            <v>WA2502HDL1CM</v>
          </cell>
          <cell r="BW1149">
            <v>131</v>
          </cell>
        </row>
        <row r="1150">
          <cell r="L1150" t="str">
            <v>WA2502JK11BK</v>
          </cell>
          <cell r="BW1150">
            <v>337</v>
          </cell>
        </row>
        <row r="1151">
          <cell r="L1151" t="str">
            <v>WA2502JK11BK</v>
          </cell>
          <cell r="BW1151">
            <v>359</v>
          </cell>
        </row>
        <row r="1152">
          <cell r="L1152" t="str">
            <v>WA2502JK11BK</v>
          </cell>
          <cell r="BW1152">
            <v>359</v>
          </cell>
        </row>
        <row r="1153">
          <cell r="L1153" t="str">
            <v>WA2502JK11BK</v>
          </cell>
          <cell r="BW1153">
            <v>275</v>
          </cell>
        </row>
        <row r="1154">
          <cell r="L1154" t="str">
            <v>WA2502JK11BL</v>
          </cell>
          <cell r="BW1154">
            <v>114</v>
          </cell>
        </row>
        <row r="1155">
          <cell r="L1155" t="str">
            <v>WA2502JK11BL</v>
          </cell>
          <cell r="BW1155">
            <v>138</v>
          </cell>
        </row>
        <row r="1156">
          <cell r="L1156" t="str">
            <v>WA2502JK11BL</v>
          </cell>
          <cell r="BW1156">
            <v>98</v>
          </cell>
        </row>
        <row r="1157">
          <cell r="L1157" t="str">
            <v>WA2502JK11BL</v>
          </cell>
          <cell r="BW1157">
            <v>96</v>
          </cell>
        </row>
        <row r="1158">
          <cell r="L1158" t="str">
            <v>WA2502JK11CM</v>
          </cell>
          <cell r="BW1158">
            <v>227</v>
          </cell>
        </row>
        <row r="1159">
          <cell r="L1159" t="str">
            <v>WA2502JK11CM</v>
          </cell>
          <cell r="BW1159">
            <v>322</v>
          </cell>
        </row>
        <row r="1160">
          <cell r="L1160" t="str">
            <v>WA2502JK11CM</v>
          </cell>
          <cell r="BW1160">
            <v>264</v>
          </cell>
        </row>
        <row r="1161">
          <cell r="L1161" t="str">
            <v>WA2502JK11CM</v>
          </cell>
          <cell r="BW1161">
            <v>174</v>
          </cell>
        </row>
        <row r="1162">
          <cell r="L1162" t="str">
            <v>WA2502JK11TC</v>
          </cell>
          <cell r="BW1162">
            <v>36</v>
          </cell>
        </row>
        <row r="1163">
          <cell r="L1163" t="str">
            <v>WA2502JK11TC</v>
          </cell>
          <cell r="BW1163">
            <v>71</v>
          </cell>
        </row>
        <row r="1164">
          <cell r="L1164" t="str">
            <v>WA2502JK11TC</v>
          </cell>
          <cell r="BW1164">
            <v>59</v>
          </cell>
        </row>
        <row r="1165">
          <cell r="L1165" t="str">
            <v>WA2502JK11TC</v>
          </cell>
          <cell r="BW1165">
            <v>64</v>
          </cell>
        </row>
        <row r="1166">
          <cell r="L1166" t="str">
            <v>WA2502JK12KK</v>
          </cell>
          <cell r="BW1166">
            <v>100</v>
          </cell>
        </row>
        <row r="1167">
          <cell r="L1167" t="str">
            <v>WA2502JK12KK</v>
          </cell>
          <cell r="BW1167">
            <v>136</v>
          </cell>
        </row>
        <row r="1168">
          <cell r="L1168" t="str">
            <v>WA2502JK12KK</v>
          </cell>
          <cell r="BW1168">
            <v>147</v>
          </cell>
        </row>
        <row r="1169">
          <cell r="L1169" t="str">
            <v>WA2502JK12KK</v>
          </cell>
          <cell r="BW1169">
            <v>65</v>
          </cell>
        </row>
        <row r="1170">
          <cell r="L1170" t="str">
            <v>WA2502JK12LG</v>
          </cell>
          <cell r="BW1170">
            <v>126</v>
          </cell>
        </row>
        <row r="1171">
          <cell r="L1171" t="str">
            <v>WA2502JK12LG</v>
          </cell>
          <cell r="BW1171">
            <v>152</v>
          </cell>
        </row>
        <row r="1172">
          <cell r="L1172" t="str">
            <v>WA2502JK12LG</v>
          </cell>
          <cell r="BW1172">
            <v>140</v>
          </cell>
        </row>
        <row r="1173">
          <cell r="L1173" t="str">
            <v>WA2502JK12LG</v>
          </cell>
          <cell r="BW1173">
            <v>111</v>
          </cell>
        </row>
        <row r="1174">
          <cell r="L1174" t="str">
            <v>WA2502JK13BK</v>
          </cell>
          <cell r="BW1174">
            <v>224</v>
          </cell>
        </row>
        <row r="1175">
          <cell r="L1175" t="str">
            <v>WA2502JK13BK</v>
          </cell>
          <cell r="BW1175">
            <v>307</v>
          </cell>
        </row>
        <row r="1176">
          <cell r="L1176" t="str">
            <v>WA2502JK13BK</v>
          </cell>
          <cell r="BW1176">
            <v>284</v>
          </cell>
        </row>
        <row r="1177">
          <cell r="L1177" t="str">
            <v>WA2502JK13BK</v>
          </cell>
          <cell r="BW1177">
            <v>101</v>
          </cell>
        </row>
        <row r="1178">
          <cell r="L1178" t="str">
            <v>WA2502JK13KH</v>
          </cell>
          <cell r="BW1178">
            <v>160</v>
          </cell>
        </row>
        <row r="1179">
          <cell r="L1179" t="str">
            <v>WA2502JK13KH</v>
          </cell>
          <cell r="BW1179">
            <v>195</v>
          </cell>
        </row>
        <row r="1180">
          <cell r="L1180" t="str">
            <v>WA2502JK13KH</v>
          </cell>
          <cell r="BW1180">
            <v>173</v>
          </cell>
        </row>
        <row r="1181">
          <cell r="L1181" t="str">
            <v>WA2502JK13KH</v>
          </cell>
          <cell r="BW1181">
            <v>61</v>
          </cell>
        </row>
        <row r="1182">
          <cell r="L1182" t="str">
            <v>WA2502JK14BK</v>
          </cell>
          <cell r="BW1182">
            <v>597</v>
          </cell>
        </row>
        <row r="1183">
          <cell r="L1183" t="str">
            <v>WA2502JK14BK</v>
          </cell>
          <cell r="BW1183">
            <v>574</v>
          </cell>
        </row>
        <row r="1184">
          <cell r="L1184" t="str">
            <v>WA2502JK14BK</v>
          </cell>
          <cell r="BW1184">
            <v>542</v>
          </cell>
        </row>
        <row r="1185">
          <cell r="L1185" t="str">
            <v>WA2502JK14BK</v>
          </cell>
          <cell r="BW1185">
            <v>385</v>
          </cell>
        </row>
        <row r="1186">
          <cell r="L1186" t="str">
            <v>WA2502JK14GR</v>
          </cell>
          <cell r="BW1186">
            <v>355</v>
          </cell>
        </row>
        <row r="1187">
          <cell r="L1187" t="str">
            <v>WA2502JK14GR</v>
          </cell>
          <cell r="BW1187">
            <v>379</v>
          </cell>
        </row>
        <row r="1188">
          <cell r="L1188" t="str">
            <v>WA2502JK14GR</v>
          </cell>
          <cell r="BW1188">
            <v>413</v>
          </cell>
        </row>
        <row r="1189">
          <cell r="L1189" t="str">
            <v>WA2502JK14GR</v>
          </cell>
          <cell r="BW1189">
            <v>247</v>
          </cell>
        </row>
        <row r="1190">
          <cell r="L1190" t="str">
            <v>WA2502JK14LK</v>
          </cell>
          <cell r="BW1190">
            <v>159</v>
          </cell>
        </row>
        <row r="1191">
          <cell r="L1191" t="str">
            <v>WA2502JK14LK</v>
          </cell>
          <cell r="BW1191">
            <v>171</v>
          </cell>
        </row>
        <row r="1192">
          <cell r="L1192" t="str">
            <v>WA2502JK14LK</v>
          </cell>
          <cell r="BW1192">
            <v>155</v>
          </cell>
        </row>
        <row r="1193">
          <cell r="L1193" t="str">
            <v>WA2502JK14LK</v>
          </cell>
          <cell r="BW1193">
            <v>107</v>
          </cell>
        </row>
        <row r="1194">
          <cell r="L1194" t="str">
            <v>WA2502JK61BL</v>
          </cell>
          <cell r="BW1194">
            <v>23</v>
          </cell>
        </row>
        <row r="1195">
          <cell r="L1195" t="str">
            <v>WA2502JK61LB</v>
          </cell>
          <cell r="BW1195">
            <v>18</v>
          </cell>
        </row>
        <row r="1196">
          <cell r="L1196" t="str">
            <v>WA2502JK62BK</v>
          </cell>
          <cell r="BW1196">
            <v>722</v>
          </cell>
        </row>
        <row r="1197">
          <cell r="L1197" t="str">
            <v>WA2502JK62SB</v>
          </cell>
          <cell r="BW1197">
            <v>244</v>
          </cell>
        </row>
        <row r="1198">
          <cell r="L1198" t="str">
            <v>WA2502JK62WH</v>
          </cell>
          <cell r="BW1198">
            <v>336</v>
          </cell>
        </row>
        <row r="1199">
          <cell r="L1199" t="str">
            <v>WA2502JK63CM</v>
          </cell>
          <cell r="BW1199">
            <v>478</v>
          </cell>
        </row>
        <row r="1200">
          <cell r="L1200" t="str">
            <v>WA2502JK63GR</v>
          </cell>
          <cell r="BW1200">
            <v>213</v>
          </cell>
        </row>
        <row r="1201">
          <cell r="L1201" t="str">
            <v>WA2502JK63LV</v>
          </cell>
          <cell r="BW1201">
            <v>306</v>
          </cell>
        </row>
        <row r="1202">
          <cell r="L1202" t="str">
            <v>WA2502JK64BL</v>
          </cell>
          <cell r="BW1202">
            <v>174</v>
          </cell>
        </row>
        <row r="1203">
          <cell r="L1203" t="str">
            <v>WA2502JK65BK</v>
          </cell>
          <cell r="BW1203">
            <v>633</v>
          </cell>
        </row>
        <row r="1204">
          <cell r="L1204" t="str">
            <v>WA2502JK65CM</v>
          </cell>
          <cell r="BW1204">
            <v>654</v>
          </cell>
        </row>
        <row r="1205">
          <cell r="L1205" t="str">
            <v>WA2502JK66SB</v>
          </cell>
          <cell r="BW1205">
            <v>483</v>
          </cell>
        </row>
        <row r="1206">
          <cell r="L1206" t="str">
            <v>WA2502JKL1IN</v>
          </cell>
          <cell r="BW1206">
            <v>118</v>
          </cell>
        </row>
        <row r="1207">
          <cell r="L1207" t="str">
            <v>WA2502JKL1IN</v>
          </cell>
          <cell r="BW1207">
            <v>98</v>
          </cell>
        </row>
        <row r="1208">
          <cell r="L1208" t="str">
            <v>WA2502JKL1MI</v>
          </cell>
          <cell r="BW1208">
            <v>42</v>
          </cell>
        </row>
        <row r="1209">
          <cell r="L1209" t="str">
            <v>WA2502JKL1MI</v>
          </cell>
          <cell r="BW1209">
            <v>34</v>
          </cell>
        </row>
        <row r="1210">
          <cell r="L1210" t="str">
            <v>WA2502JKL5CM</v>
          </cell>
          <cell r="BW1210">
            <v>155</v>
          </cell>
        </row>
        <row r="1211">
          <cell r="L1211" t="str">
            <v>WA2502JKL5IN</v>
          </cell>
          <cell r="BW1211">
            <v>91</v>
          </cell>
        </row>
        <row r="1212">
          <cell r="L1212" t="str">
            <v>WA2502KT11GN</v>
          </cell>
          <cell r="BW1212">
            <v>91</v>
          </cell>
        </row>
        <row r="1213">
          <cell r="L1213" t="str">
            <v>WA2502KT11GN</v>
          </cell>
          <cell r="BW1213">
            <v>98</v>
          </cell>
        </row>
        <row r="1214">
          <cell r="L1214" t="str">
            <v>WA2502KT11GN</v>
          </cell>
          <cell r="BW1214">
            <v>55</v>
          </cell>
        </row>
        <row r="1215">
          <cell r="L1215" t="str">
            <v>WA2502KT11GN</v>
          </cell>
          <cell r="BW1215">
            <v>52</v>
          </cell>
        </row>
        <row r="1216">
          <cell r="L1216" t="str">
            <v>WA2502KT11IV</v>
          </cell>
          <cell r="BW1216">
            <v>121</v>
          </cell>
        </row>
        <row r="1217">
          <cell r="L1217" t="str">
            <v>WA2502KT11IV</v>
          </cell>
          <cell r="BW1217">
            <v>132</v>
          </cell>
        </row>
        <row r="1218">
          <cell r="L1218" t="str">
            <v>WA2502KT11IV</v>
          </cell>
          <cell r="BW1218">
            <v>127</v>
          </cell>
        </row>
        <row r="1219">
          <cell r="L1219" t="str">
            <v>WA2502KT11IV</v>
          </cell>
          <cell r="BW1219">
            <v>51</v>
          </cell>
        </row>
        <row r="1220">
          <cell r="L1220" t="str">
            <v>WA2502KT12BL</v>
          </cell>
          <cell r="BW1220">
            <v>151</v>
          </cell>
        </row>
        <row r="1221">
          <cell r="L1221" t="str">
            <v>WA2502KT12BL</v>
          </cell>
          <cell r="BW1221">
            <v>149</v>
          </cell>
        </row>
        <row r="1222">
          <cell r="L1222" t="str">
            <v>WA2502KT12BL</v>
          </cell>
          <cell r="BW1222">
            <v>167</v>
          </cell>
        </row>
        <row r="1223">
          <cell r="L1223" t="str">
            <v>WA2502KT12BL</v>
          </cell>
          <cell r="BW1223">
            <v>71</v>
          </cell>
        </row>
        <row r="1224">
          <cell r="L1224" t="str">
            <v>WA2502KT12GN</v>
          </cell>
          <cell r="BW1224">
            <v>238</v>
          </cell>
        </row>
        <row r="1225">
          <cell r="L1225" t="str">
            <v>WA2502KT12GN</v>
          </cell>
          <cell r="BW1225">
            <v>232</v>
          </cell>
        </row>
        <row r="1226">
          <cell r="L1226" t="str">
            <v>WA2502KT12GN</v>
          </cell>
          <cell r="BW1226">
            <v>169</v>
          </cell>
        </row>
        <row r="1227">
          <cell r="L1227" t="str">
            <v>WA2502KT12GN</v>
          </cell>
          <cell r="BW1227">
            <v>114</v>
          </cell>
        </row>
        <row r="1228">
          <cell r="L1228" t="str">
            <v>WA2502KT51LP</v>
          </cell>
          <cell r="BW1228">
            <v>68</v>
          </cell>
        </row>
        <row r="1229">
          <cell r="L1229" t="str">
            <v>WA2502KT51LP</v>
          </cell>
          <cell r="BW1229">
            <v>120</v>
          </cell>
        </row>
        <row r="1230">
          <cell r="L1230" t="str">
            <v>WA2502KT51NA</v>
          </cell>
          <cell r="BW1230">
            <v>17</v>
          </cell>
        </row>
        <row r="1231">
          <cell r="L1231" t="str">
            <v>WA2502KT51NA</v>
          </cell>
          <cell r="BW1231">
            <v>116</v>
          </cell>
        </row>
        <row r="1232">
          <cell r="L1232" t="str">
            <v>WA2502KT51WH</v>
          </cell>
          <cell r="BW1232">
            <v>7</v>
          </cell>
        </row>
        <row r="1233">
          <cell r="L1233" t="str">
            <v>WA2502KT51WH</v>
          </cell>
          <cell r="BW1233">
            <v>55</v>
          </cell>
        </row>
        <row r="1234">
          <cell r="L1234" t="str">
            <v>WA2502KT63DN</v>
          </cell>
          <cell r="BW1234">
            <v>400</v>
          </cell>
        </row>
        <row r="1235">
          <cell r="L1235" t="str">
            <v>WA2502KT63SB</v>
          </cell>
          <cell r="BW1235">
            <v>380</v>
          </cell>
        </row>
        <row r="1236">
          <cell r="L1236" t="str">
            <v>WA2502KT63WH</v>
          </cell>
          <cell r="BW1236">
            <v>201</v>
          </cell>
        </row>
        <row r="1237">
          <cell r="L1237" t="str">
            <v>WA2502KT64CM</v>
          </cell>
          <cell r="BW1237">
            <v>13</v>
          </cell>
        </row>
        <row r="1238">
          <cell r="L1238" t="str">
            <v>WA2502KT64CM</v>
          </cell>
          <cell r="BW1238">
            <v>158</v>
          </cell>
        </row>
        <row r="1239">
          <cell r="L1239" t="str">
            <v>WA2502KT64DN</v>
          </cell>
          <cell r="BW1239">
            <v>23</v>
          </cell>
        </row>
        <row r="1240">
          <cell r="L1240" t="str">
            <v>WA2502KT64DN</v>
          </cell>
          <cell r="BW1240">
            <v>429</v>
          </cell>
        </row>
        <row r="1241">
          <cell r="L1241" t="str">
            <v>WA2502KT64LP</v>
          </cell>
          <cell r="BW1241">
            <v>82</v>
          </cell>
        </row>
        <row r="1242">
          <cell r="L1242" t="str">
            <v>WA2502KT64LP</v>
          </cell>
          <cell r="BW1242">
            <v>286</v>
          </cell>
        </row>
        <row r="1243">
          <cell r="L1243" t="str">
            <v>WA2502KT65CM</v>
          </cell>
          <cell r="BW1243">
            <v>9</v>
          </cell>
        </row>
        <row r="1244">
          <cell r="L1244" t="str">
            <v>WA2502KT65CM</v>
          </cell>
          <cell r="BW1244">
            <v>46</v>
          </cell>
        </row>
        <row r="1245">
          <cell r="L1245" t="str">
            <v>WA2502KT65NA</v>
          </cell>
          <cell r="BW1245">
            <v>12</v>
          </cell>
        </row>
        <row r="1246">
          <cell r="L1246" t="str">
            <v>WA2502KT65NA</v>
          </cell>
          <cell r="BW1246">
            <v>119</v>
          </cell>
        </row>
        <row r="1247">
          <cell r="L1247" t="str">
            <v>WA2502KT66CM</v>
          </cell>
          <cell r="BW1247">
            <v>39</v>
          </cell>
        </row>
        <row r="1248">
          <cell r="L1248" t="str">
            <v>WA2502KT66SB</v>
          </cell>
          <cell r="BW1248">
            <v>283</v>
          </cell>
        </row>
        <row r="1249">
          <cell r="L1249" t="str">
            <v>WA2502KT67CM</v>
          </cell>
          <cell r="BW1249">
            <v>14</v>
          </cell>
        </row>
        <row r="1250">
          <cell r="L1250" t="str">
            <v>WA2502KT67PI</v>
          </cell>
          <cell r="BW1250">
            <v>41</v>
          </cell>
        </row>
        <row r="1251">
          <cell r="L1251" t="str">
            <v>WA2502KT68NA</v>
          </cell>
          <cell r="BW1251">
            <v>549</v>
          </cell>
        </row>
        <row r="1252">
          <cell r="L1252" t="str">
            <v>WA2502KT69NA</v>
          </cell>
          <cell r="BW1252">
            <v>346</v>
          </cell>
        </row>
        <row r="1253">
          <cell r="L1253" t="str">
            <v>WA2502KT70NA</v>
          </cell>
          <cell r="BW1253">
            <v>43</v>
          </cell>
        </row>
        <row r="1254">
          <cell r="L1254" t="str">
            <v>WA2502KT70SB</v>
          </cell>
          <cell r="BW1254">
            <v>3</v>
          </cell>
        </row>
        <row r="1255">
          <cell r="L1255" t="str">
            <v>WA2502OP61BK</v>
          </cell>
          <cell r="BW1255">
            <v>95</v>
          </cell>
        </row>
        <row r="1256">
          <cell r="L1256" t="str">
            <v>WA2502OP61BK</v>
          </cell>
          <cell r="BW1256">
            <v>271</v>
          </cell>
        </row>
        <row r="1257">
          <cell r="L1257" t="str">
            <v>WA2502OP61GR</v>
          </cell>
          <cell r="BW1257">
            <v>86</v>
          </cell>
        </row>
        <row r="1258">
          <cell r="L1258" t="str">
            <v>WA2502OP61GR</v>
          </cell>
          <cell r="BW1258">
            <v>133</v>
          </cell>
        </row>
        <row r="1259">
          <cell r="L1259" t="str">
            <v>WA2502OP62WH</v>
          </cell>
          <cell r="BW1259">
            <v>353</v>
          </cell>
        </row>
        <row r="1260">
          <cell r="L1260" t="str">
            <v>WA2502OP63BL</v>
          </cell>
          <cell r="BW1260">
            <v>362</v>
          </cell>
        </row>
        <row r="1261">
          <cell r="L1261" t="str">
            <v>WA2502OPL5IN</v>
          </cell>
          <cell r="BW1261">
            <v>53</v>
          </cell>
        </row>
        <row r="1262">
          <cell r="L1262" t="str">
            <v>WA2502PT11BK</v>
          </cell>
          <cell r="BW1262">
            <v>107</v>
          </cell>
        </row>
        <row r="1263">
          <cell r="L1263" t="str">
            <v>WA2502PT11BK</v>
          </cell>
          <cell r="BW1263">
            <v>238</v>
          </cell>
        </row>
        <row r="1264">
          <cell r="L1264" t="str">
            <v>WA2502PT11BK</v>
          </cell>
          <cell r="BW1264">
            <v>215</v>
          </cell>
        </row>
        <row r="1265">
          <cell r="L1265" t="str">
            <v>WA2502PT11BK</v>
          </cell>
          <cell r="BW1265">
            <v>74</v>
          </cell>
        </row>
        <row r="1266">
          <cell r="L1266" t="str">
            <v>WA2502PT11BL</v>
          </cell>
          <cell r="BW1266">
            <v>128</v>
          </cell>
        </row>
        <row r="1267">
          <cell r="L1267" t="str">
            <v>WA2502PT11BL</v>
          </cell>
          <cell r="BW1267">
            <v>281</v>
          </cell>
        </row>
        <row r="1268">
          <cell r="L1268" t="str">
            <v>WA2502PT11BL</v>
          </cell>
          <cell r="BW1268">
            <v>253</v>
          </cell>
        </row>
        <row r="1269">
          <cell r="L1269" t="str">
            <v>WA2502PT11BL</v>
          </cell>
          <cell r="BW1269">
            <v>108</v>
          </cell>
        </row>
        <row r="1270">
          <cell r="L1270" t="str">
            <v>WA2502PT12BK</v>
          </cell>
          <cell r="BW1270">
            <v>171</v>
          </cell>
        </row>
        <row r="1271">
          <cell r="L1271" t="str">
            <v>WA2502PT12BK</v>
          </cell>
          <cell r="BW1271">
            <v>198</v>
          </cell>
        </row>
        <row r="1272">
          <cell r="L1272" t="str">
            <v>WA2502PT12BK</v>
          </cell>
          <cell r="BW1272">
            <v>206</v>
          </cell>
        </row>
        <row r="1273">
          <cell r="L1273" t="str">
            <v>WA2502PT12BK</v>
          </cell>
          <cell r="BW1273">
            <v>120</v>
          </cell>
        </row>
        <row r="1274">
          <cell r="L1274" t="str">
            <v>WA2502PT12KH</v>
          </cell>
          <cell r="BW1274">
            <v>179</v>
          </cell>
        </row>
        <row r="1275">
          <cell r="L1275" t="str">
            <v>WA2502PT12KH</v>
          </cell>
          <cell r="BW1275">
            <v>193</v>
          </cell>
        </row>
        <row r="1276">
          <cell r="L1276" t="str">
            <v>WA2502PT12KH</v>
          </cell>
          <cell r="BW1276">
            <v>161</v>
          </cell>
        </row>
        <row r="1277">
          <cell r="L1277" t="str">
            <v>WA2502PT12KH</v>
          </cell>
          <cell r="BW1277">
            <v>85</v>
          </cell>
        </row>
        <row r="1278">
          <cell r="L1278" t="str">
            <v>WA2502PT12LG</v>
          </cell>
          <cell r="BW1278">
            <v>219</v>
          </cell>
        </row>
        <row r="1279">
          <cell r="L1279" t="str">
            <v>WA2502PT12LG</v>
          </cell>
          <cell r="BW1279">
            <v>234</v>
          </cell>
        </row>
        <row r="1280">
          <cell r="L1280" t="str">
            <v>WA2502PT12LG</v>
          </cell>
          <cell r="BW1280">
            <v>246</v>
          </cell>
        </row>
        <row r="1281">
          <cell r="L1281" t="str">
            <v>WA2502PT12LG</v>
          </cell>
          <cell r="BW1281">
            <v>141</v>
          </cell>
        </row>
        <row r="1282">
          <cell r="L1282" t="str">
            <v>WA2502PT13BK</v>
          </cell>
          <cell r="BW1282">
            <v>286</v>
          </cell>
        </row>
        <row r="1283">
          <cell r="L1283" t="str">
            <v>WA2502PT13BK</v>
          </cell>
          <cell r="BW1283">
            <v>257</v>
          </cell>
        </row>
        <row r="1284">
          <cell r="L1284" t="str">
            <v>WA2502PT13BK</v>
          </cell>
          <cell r="BW1284">
            <v>272</v>
          </cell>
        </row>
        <row r="1285">
          <cell r="L1285" t="str">
            <v>WA2502PT13BK</v>
          </cell>
          <cell r="BW1285">
            <v>174</v>
          </cell>
        </row>
        <row r="1286">
          <cell r="L1286" t="str">
            <v>WA2502PT13CH</v>
          </cell>
          <cell r="BW1286">
            <v>189</v>
          </cell>
        </row>
        <row r="1287">
          <cell r="L1287" t="str">
            <v>WA2502PT13CH</v>
          </cell>
          <cell r="BW1287">
            <v>187</v>
          </cell>
        </row>
        <row r="1288">
          <cell r="L1288" t="str">
            <v>WA2502PT13CH</v>
          </cell>
          <cell r="BW1288">
            <v>165</v>
          </cell>
        </row>
        <row r="1289">
          <cell r="L1289" t="str">
            <v>WA2502PT13CH</v>
          </cell>
          <cell r="BW1289">
            <v>125</v>
          </cell>
        </row>
        <row r="1290">
          <cell r="L1290" t="str">
            <v>WA2502PT13LG</v>
          </cell>
          <cell r="BW1290">
            <v>144</v>
          </cell>
        </row>
        <row r="1291">
          <cell r="L1291" t="str">
            <v>WA2502PT13LG</v>
          </cell>
          <cell r="BW1291">
            <v>146</v>
          </cell>
        </row>
        <row r="1292">
          <cell r="L1292" t="str">
            <v>WA2502PT13LG</v>
          </cell>
          <cell r="BW1292">
            <v>95</v>
          </cell>
        </row>
        <row r="1293">
          <cell r="L1293" t="str">
            <v>WA2502PT13LG</v>
          </cell>
          <cell r="BW1293">
            <v>85</v>
          </cell>
        </row>
        <row r="1294">
          <cell r="L1294" t="str">
            <v>WA2502PT14BK</v>
          </cell>
          <cell r="BW1294">
            <v>127</v>
          </cell>
        </row>
        <row r="1295">
          <cell r="L1295" t="str">
            <v>WA2502PT14BK</v>
          </cell>
          <cell r="BW1295">
            <v>129</v>
          </cell>
        </row>
        <row r="1296">
          <cell r="L1296" t="str">
            <v>WA2502PT14BK</v>
          </cell>
          <cell r="BW1296">
            <v>148</v>
          </cell>
        </row>
        <row r="1297">
          <cell r="L1297" t="str">
            <v>WA2502PT14BK</v>
          </cell>
          <cell r="BW1297">
            <v>107</v>
          </cell>
        </row>
        <row r="1298">
          <cell r="L1298" t="str">
            <v>WA2502PT14CM</v>
          </cell>
          <cell r="BW1298">
            <v>145</v>
          </cell>
        </row>
        <row r="1299">
          <cell r="L1299" t="str">
            <v>WA2502PT14CM</v>
          </cell>
          <cell r="BW1299">
            <v>142</v>
          </cell>
        </row>
        <row r="1300">
          <cell r="L1300" t="str">
            <v>WA2502PT14CM</v>
          </cell>
          <cell r="BW1300">
            <v>137</v>
          </cell>
        </row>
        <row r="1301">
          <cell r="L1301" t="str">
            <v>WA2502PT61BL</v>
          </cell>
          <cell r="BW1301">
            <v>156</v>
          </cell>
        </row>
        <row r="1302">
          <cell r="L1302" t="str">
            <v>WA2502PT61BL</v>
          </cell>
          <cell r="BW1302">
            <v>185</v>
          </cell>
        </row>
        <row r="1303">
          <cell r="L1303" t="str">
            <v>WA2502PT61LB</v>
          </cell>
          <cell r="BW1303">
            <v>145</v>
          </cell>
        </row>
        <row r="1304">
          <cell r="L1304" t="str">
            <v>WA2502PT61LB</v>
          </cell>
          <cell r="BW1304">
            <v>107</v>
          </cell>
        </row>
        <row r="1305">
          <cell r="L1305" t="str">
            <v>WA2502PT65BK</v>
          </cell>
          <cell r="BW1305">
            <v>386</v>
          </cell>
        </row>
        <row r="1306">
          <cell r="L1306" t="str">
            <v>WA2502PT65BK</v>
          </cell>
          <cell r="BW1306">
            <v>823</v>
          </cell>
        </row>
        <row r="1307">
          <cell r="L1307" t="str">
            <v>WA2502PT65CM</v>
          </cell>
          <cell r="BW1307">
            <v>190</v>
          </cell>
        </row>
        <row r="1308">
          <cell r="L1308" t="str">
            <v>WA2502PT65CM</v>
          </cell>
          <cell r="BW1308">
            <v>445</v>
          </cell>
        </row>
        <row r="1309">
          <cell r="L1309" t="str">
            <v>WA2502PT66BK</v>
          </cell>
          <cell r="BW1309">
            <v>364</v>
          </cell>
        </row>
        <row r="1310">
          <cell r="L1310" t="str">
            <v>WA2502PT66BK</v>
          </cell>
          <cell r="BW1310">
            <v>864</v>
          </cell>
        </row>
        <row r="1311">
          <cell r="L1311" t="str">
            <v>WA2502PT66GR</v>
          </cell>
          <cell r="BW1311">
            <v>95</v>
          </cell>
        </row>
        <row r="1312">
          <cell r="L1312" t="str">
            <v>WA2502PT66GR</v>
          </cell>
          <cell r="BW1312">
            <v>226</v>
          </cell>
        </row>
        <row r="1313">
          <cell r="L1313" t="str">
            <v>WA2502PT66LV</v>
          </cell>
          <cell r="BW1313">
            <v>173</v>
          </cell>
        </row>
        <row r="1314">
          <cell r="L1314" t="str">
            <v>WA2502PT66LV</v>
          </cell>
          <cell r="BW1314">
            <v>462</v>
          </cell>
        </row>
        <row r="1315">
          <cell r="L1315" t="str">
            <v>WA2502PT66TC</v>
          </cell>
          <cell r="BW1315">
            <v>19</v>
          </cell>
        </row>
        <row r="1316">
          <cell r="L1316" t="str">
            <v>WA2502PT66TC</v>
          </cell>
          <cell r="BW1316">
            <v>79</v>
          </cell>
        </row>
        <row r="1317">
          <cell r="L1317" t="str">
            <v>WA2502PTL1IN</v>
          </cell>
          <cell r="BW1317">
            <v>72</v>
          </cell>
        </row>
        <row r="1318">
          <cell r="L1318" t="str">
            <v>WA2502PTL1IN</v>
          </cell>
          <cell r="BW1318">
            <v>67</v>
          </cell>
        </row>
        <row r="1319">
          <cell r="L1319" t="str">
            <v>WA2502PTL1IN</v>
          </cell>
          <cell r="BW1319">
            <v>56</v>
          </cell>
        </row>
        <row r="1320">
          <cell r="L1320" t="str">
            <v>WA2502PTL1MI</v>
          </cell>
          <cell r="BW1320">
            <v>29</v>
          </cell>
        </row>
        <row r="1321">
          <cell r="L1321" t="str">
            <v>WA2502PTL1MI</v>
          </cell>
          <cell r="BW1321">
            <v>21</v>
          </cell>
        </row>
        <row r="1322">
          <cell r="L1322" t="str">
            <v>WA2502PTL1MI</v>
          </cell>
          <cell r="BW1322">
            <v>17</v>
          </cell>
        </row>
        <row r="1323">
          <cell r="L1323" t="str">
            <v>WA2502SO01BK</v>
          </cell>
          <cell r="BW1323">
            <v>124</v>
          </cell>
        </row>
        <row r="1324">
          <cell r="L1324" t="str">
            <v>WA2502SO01BK</v>
          </cell>
          <cell r="BW1324">
            <v>277</v>
          </cell>
        </row>
        <row r="1325">
          <cell r="L1325" t="str">
            <v>WA2502SO01BK</v>
          </cell>
          <cell r="BW1325">
            <v>481</v>
          </cell>
        </row>
        <row r="1326">
          <cell r="L1326" t="str">
            <v>WA2502SO01BK</v>
          </cell>
          <cell r="BW1326">
            <v>134</v>
          </cell>
        </row>
        <row r="1327">
          <cell r="L1327" t="str">
            <v>WA2502SO01BL</v>
          </cell>
          <cell r="BW1327">
            <v>153</v>
          </cell>
        </row>
        <row r="1328">
          <cell r="L1328" t="str">
            <v>WA2502SO01BL</v>
          </cell>
          <cell r="BW1328">
            <v>190</v>
          </cell>
        </row>
        <row r="1329">
          <cell r="L1329" t="str">
            <v>WA2502SO01BL</v>
          </cell>
          <cell r="BW1329">
            <v>192</v>
          </cell>
        </row>
        <row r="1330">
          <cell r="L1330" t="str">
            <v>WA2502SO01BL</v>
          </cell>
          <cell r="BW1330">
            <v>124</v>
          </cell>
        </row>
        <row r="1331">
          <cell r="L1331" t="str">
            <v>WA2502SO01GR</v>
          </cell>
          <cell r="BW1331">
            <v>192</v>
          </cell>
        </row>
        <row r="1332">
          <cell r="L1332" t="str">
            <v>WA2502SO01GR</v>
          </cell>
          <cell r="BW1332">
            <v>322</v>
          </cell>
        </row>
        <row r="1333">
          <cell r="L1333" t="str">
            <v>WA2502SO01GR</v>
          </cell>
          <cell r="BW1333">
            <v>443</v>
          </cell>
        </row>
        <row r="1334">
          <cell r="L1334" t="str">
            <v>WA2502SO01GR</v>
          </cell>
          <cell r="BW1334">
            <v>206</v>
          </cell>
        </row>
        <row r="1335">
          <cell r="L1335" t="str">
            <v>WA2502SO01LG</v>
          </cell>
          <cell r="BW1335">
            <v>306</v>
          </cell>
        </row>
        <row r="1336">
          <cell r="L1336" t="str">
            <v>WA2502SO01LG</v>
          </cell>
          <cell r="BW1336">
            <v>493</v>
          </cell>
        </row>
        <row r="1337">
          <cell r="L1337" t="str">
            <v>WA2502SO01LG</v>
          </cell>
          <cell r="BW1337">
            <v>786</v>
          </cell>
        </row>
        <row r="1338">
          <cell r="L1338" t="str">
            <v>WA2502SO01LG</v>
          </cell>
          <cell r="BW1338">
            <v>273</v>
          </cell>
        </row>
        <row r="1339">
          <cell r="L1339" t="str">
            <v>WA2502SO02BK</v>
          </cell>
          <cell r="BW1339">
            <v>16</v>
          </cell>
        </row>
        <row r="1340">
          <cell r="L1340" t="str">
            <v>WA2502SO02BK</v>
          </cell>
          <cell r="BW1340">
            <v>28</v>
          </cell>
        </row>
        <row r="1341">
          <cell r="L1341" t="str">
            <v>WA2502SO02BK</v>
          </cell>
          <cell r="BW1341">
            <v>109</v>
          </cell>
        </row>
        <row r="1342">
          <cell r="L1342" t="str">
            <v>WA2502SO02BK</v>
          </cell>
          <cell r="BW1342">
            <v>16</v>
          </cell>
        </row>
        <row r="1343">
          <cell r="L1343" t="str">
            <v>WA2502SO02GR</v>
          </cell>
          <cell r="BW1343">
            <v>7</v>
          </cell>
        </row>
        <row r="1344">
          <cell r="L1344" t="str">
            <v>WA2502SO02GR</v>
          </cell>
          <cell r="BW1344">
            <v>15</v>
          </cell>
        </row>
        <row r="1345">
          <cell r="L1345" t="str">
            <v>WA2502SO02GR</v>
          </cell>
          <cell r="BW1345">
            <v>10</v>
          </cell>
        </row>
        <row r="1346">
          <cell r="L1346" t="str">
            <v>WA2502SO02GR</v>
          </cell>
          <cell r="BW1346">
            <v>10</v>
          </cell>
        </row>
        <row r="1347">
          <cell r="L1347" t="str">
            <v>WA2502SO02LG</v>
          </cell>
          <cell r="BW1347">
            <v>68</v>
          </cell>
        </row>
        <row r="1348">
          <cell r="L1348" t="str">
            <v>WA2502SO02LG</v>
          </cell>
          <cell r="BW1348">
            <v>165</v>
          </cell>
        </row>
        <row r="1349">
          <cell r="L1349" t="str">
            <v>WA2502SO02LG</v>
          </cell>
          <cell r="BW1349">
            <v>217</v>
          </cell>
        </row>
        <row r="1350">
          <cell r="L1350" t="str">
            <v>WA2502SO02LG</v>
          </cell>
          <cell r="BW1350">
            <v>78</v>
          </cell>
        </row>
        <row r="1351">
          <cell r="L1351" t="str">
            <v>WA2502SO03GN</v>
          </cell>
          <cell r="BW1351">
            <v>87</v>
          </cell>
        </row>
        <row r="1352">
          <cell r="L1352" t="str">
            <v>WA2502SO03GN</v>
          </cell>
          <cell r="BW1352">
            <v>217</v>
          </cell>
        </row>
        <row r="1353">
          <cell r="L1353" t="str">
            <v>WA2502SO03GN</v>
          </cell>
          <cell r="BW1353">
            <v>366</v>
          </cell>
        </row>
        <row r="1354">
          <cell r="L1354" t="str">
            <v>WA2502SO03GN</v>
          </cell>
          <cell r="BW1354">
            <v>73</v>
          </cell>
        </row>
        <row r="1355">
          <cell r="L1355" t="str">
            <v>WA2502SO03NA</v>
          </cell>
          <cell r="BW1355">
            <v>75</v>
          </cell>
        </row>
        <row r="1356">
          <cell r="L1356" t="str">
            <v>WA2502SO03NA</v>
          </cell>
          <cell r="BW1356">
            <v>145</v>
          </cell>
        </row>
        <row r="1357">
          <cell r="L1357" t="str">
            <v>WA2502SO03NA</v>
          </cell>
          <cell r="BW1357">
            <v>229</v>
          </cell>
        </row>
        <row r="1358">
          <cell r="L1358" t="str">
            <v>WA2502SO03NA</v>
          </cell>
          <cell r="BW1358">
            <v>59</v>
          </cell>
        </row>
        <row r="1359">
          <cell r="L1359" t="str">
            <v>WA2502SO04BL</v>
          </cell>
          <cell r="BW1359">
            <v>219</v>
          </cell>
        </row>
        <row r="1360">
          <cell r="L1360" t="str">
            <v>WA2502SO04BL</v>
          </cell>
          <cell r="BW1360">
            <v>305</v>
          </cell>
        </row>
        <row r="1361">
          <cell r="L1361" t="str">
            <v>WA2502SO04BL</v>
          </cell>
          <cell r="BW1361">
            <v>331</v>
          </cell>
        </row>
        <row r="1362">
          <cell r="L1362" t="str">
            <v>WA2502SO04BL</v>
          </cell>
          <cell r="BW1362">
            <v>187</v>
          </cell>
        </row>
        <row r="1363">
          <cell r="L1363" t="str">
            <v>WA2502SO04CH</v>
          </cell>
          <cell r="BW1363">
            <v>67</v>
          </cell>
        </row>
        <row r="1364">
          <cell r="L1364" t="str">
            <v>WA2502SO04CH</v>
          </cell>
          <cell r="BW1364">
            <v>284</v>
          </cell>
        </row>
        <row r="1365">
          <cell r="L1365" t="str">
            <v>WA2502SO04CH</v>
          </cell>
          <cell r="BW1365">
            <v>664</v>
          </cell>
        </row>
        <row r="1366">
          <cell r="L1366" t="str">
            <v>WA2502SO04CH</v>
          </cell>
          <cell r="BW1366">
            <v>93</v>
          </cell>
        </row>
        <row r="1367">
          <cell r="L1367" t="str">
            <v>WA2502SO04GN</v>
          </cell>
          <cell r="BW1367">
            <v>260</v>
          </cell>
        </row>
        <row r="1368">
          <cell r="L1368" t="str">
            <v>WA2502SO04GN</v>
          </cell>
          <cell r="BW1368">
            <v>420</v>
          </cell>
        </row>
        <row r="1369">
          <cell r="L1369" t="str">
            <v>WA2502SO04GN</v>
          </cell>
          <cell r="BW1369">
            <v>493</v>
          </cell>
        </row>
        <row r="1370">
          <cell r="L1370" t="str">
            <v>WA2502SO04GN</v>
          </cell>
          <cell r="BW1370">
            <v>156</v>
          </cell>
        </row>
        <row r="1371">
          <cell r="L1371" t="str">
            <v>WA2502SO11BK</v>
          </cell>
          <cell r="BW1371">
            <v>54</v>
          </cell>
        </row>
        <row r="1372">
          <cell r="L1372" t="str">
            <v>WA2502SO11BK</v>
          </cell>
          <cell r="BW1372">
            <v>168</v>
          </cell>
        </row>
        <row r="1373">
          <cell r="L1373" t="str">
            <v>WA2502SO11BK</v>
          </cell>
          <cell r="BW1373">
            <v>145</v>
          </cell>
        </row>
        <row r="1374">
          <cell r="L1374" t="str">
            <v>WA2502SO11BK</v>
          </cell>
          <cell r="BW1374">
            <v>57</v>
          </cell>
        </row>
        <row r="1375">
          <cell r="L1375" t="str">
            <v>WA2502SO11IN</v>
          </cell>
          <cell r="BW1375">
            <v>34</v>
          </cell>
        </row>
        <row r="1376">
          <cell r="L1376" t="str">
            <v>WA2502SO11IN</v>
          </cell>
          <cell r="BW1376">
            <v>89</v>
          </cell>
        </row>
        <row r="1377">
          <cell r="L1377" t="str">
            <v>WA2502SO11IN</v>
          </cell>
          <cell r="BW1377">
            <v>94</v>
          </cell>
        </row>
        <row r="1378">
          <cell r="L1378" t="str">
            <v>WA2502SO11IN</v>
          </cell>
          <cell r="BW1378">
            <v>41</v>
          </cell>
        </row>
        <row r="1379">
          <cell r="L1379" t="str">
            <v>WA2502SO12BK</v>
          </cell>
          <cell r="BW1379">
            <v>18</v>
          </cell>
        </row>
        <row r="1380">
          <cell r="L1380" t="str">
            <v>WA2502SO12BK</v>
          </cell>
          <cell r="BW1380">
            <v>24</v>
          </cell>
        </row>
        <row r="1381">
          <cell r="L1381" t="str">
            <v>WA2502SO12BK</v>
          </cell>
          <cell r="BW1381">
            <v>30</v>
          </cell>
        </row>
        <row r="1382">
          <cell r="L1382" t="str">
            <v>WA2502SO12BK</v>
          </cell>
          <cell r="BW1382">
            <v>41</v>
          </cell>
        </row>
        <row r="1383">
          <cell r="L1383" t="str">
            <v>WA2502SO12IN</v>
          </cell>
          <cell r="BW1383">
            <v>184</v>
          </cell>
        </row>
        <row r="1384">
          <cell r="L1384" t="str">
            <v>WA2502SO12IN</v>
          </cell>
          <cell r="BW1384">
            <v>252</v>
          </cell>
        </row>
        <row r="1385">
          <cell r="L1385" t="str">
            <v>WA2502SO12IN</v>
          </cell>
          <cell r="BW1385">
            <v>196</v>
          </cell>
        </row>
        <row r="1386">
          <cell r="L1386" t="str">
            <v>WA2502SO12IN</v>
          </cell>
          <cell r="BW1386">
            <v>200</v>
          </cell>
        </row>
        <row r="1387">
          <cell r="L1387" t="str">
            <v>WA2502SO12SB</v>
          </cell>
          <cell r="BW1387">
            <v>141</v>
          </cell>
        </row>
        <row r="1388">
          <cell r="L1388" t="str">
            <v>WA2502SO12SB</v>
          </cell>
          <cell r="BW1388">
            <v>201</v>
          </cell>
        </row>
        <row r="1389">
          <cell r="L1389" t="str">
            <v>WA2502SO12SB</v>
          </cell>
          <cell r="BW1389">
            <v>130</v>
          </cell>
        </row>
        <row r="1390">
          <cell r="L1390" t="str">
            <v>WA2502SO12SB</v>
          </cell>
          <cell r="BW1390">
            <v>118</v>
          </cell>
        </row>
        <row r="1391">
          <cell r="L1391" t="str">
            <v>WA2502SO13BK</v>
          </cell>
          <cell r="BW1391">
            <v>28</v>
          </cell>
        </row>
        <row r="1392">
          <cell r="L1392" t="str">
            <v>WA2502SO13BK</v>
          </cell>
          <cell r="BW1392">
            <v>33</v>
          </cell>
        </row>
        <row r="1393">
          <cell r="L1393" t="str">
            <v>WA2502SO13BK</v>
          </cell>
          <cell r="BW1393">
            <v>18</v>
          </cell>
        </row>
        <row r="1394">
          <cell r="L1394" t="str">
            <v>WA2502SO13BK</v>
          </cell>
          <cell r="BW1394">
            <v>18</v>
          </cell>
        </row>
        <row r="1395">
          <cell r="L1395" t="str">
            <v>WA2502SO13IN</v>
          </cell>
          <cell r="BW1395">
            <v>85</v>
          </cell>
        </row>
        <row r="1396">
          <cell r="L1396" t="str">
            <v>WA2502SO13IN</v>
          </cell>
          <cell r="BW1396">
            <v>136</v>
          </cell>
        </row>
        <row r="1397">
          <cell r="L1397" t="str">
            <v>WA2502SO13IN</v>
          </cell>
          <cell r="BW1397">
            <v>86</v>
          </cell>
        </row>
        <row r="1398">
          <cell r="L1398" t="str">
            <v>WA2502SO13IN</v>
          </cell>
          <cell r="BW1398">
            <v>74</v>
          </cell>
        </row>
        <row r="1399">
          <cell r="L1399" t="str">
            <v>WA2502SO14BK</v>
          </cell>
          <cell r="BW1399">
            <v>5</v>
          </cell>
        </row>
        <row r="1400">
          <cell r="L1400" t="str">
            <v>WA2502SO14BK</v>
          </cell>
          <cell r="BW1400">
            <v>7</v>
          </cell>
        </row>
        <row r="1401">
          <cell r="L1401" t="str">
            <v>WA2502SO14BK</v>
          </cell>
          <cell r="BW1401">
            <v>5</v>
          </cell>
        </row>
        <row r="1402">
          <cell r="L1402" t="str">
            <v>WA2502SO14BK</v>
          </cell>
          <cell r="BW1402">
            <v>13</v>
          </cell>
        </row>
        <row r="1403">
          <cell r="L1403" t="str">
            <v>WA2502SO14BL</v>
          </cell>
          <cell r="BW1403">
            <v>14</v>
          </cell>
        </row>
        <row r="1404">
          <cell r="L1404" t="str">
            <v>WA2502SO14BL</v>
          </cell>
          <cell r="BW1404">
            <v>17</v>
          </cell>
        </row>
        <row r="1405">
          <cell r="L1405" t="str">
            <v>WA2502SO14BL</v>
          </cell>
          <cell r="BW1405">
            <v>2</v>
          </cell>
        </row>
        <row r="1406">
          <cell r="L1406" t="str">
            <v>WA2502SO14BL</v>
          </cell>
          <cell r="BW1406">
            <v>22</v>
          </cell>
        </row>
        <row r="1407">
          <cell r="L1407" t="str">
            <v>WA2502SO15BK</v>
          </cell>
          <cell r="BW1407">
            <v>447</v>
          </cell>
        </row>
        <row r="1408">
          <cell r="L1408" t="str">
            <v>WA2502SO15BK</v>
          </cell>
          <cell r="BW1408">
            <v>629</v>
          </cell>
        </row>
        <row r="1409">
          <cell r="L1409" t="str">
            <v>WA2502SO15BK</v>
          </cell>
          <cell r="BW1409">
            <v>341</v>
          </cell>
        </row>
        <row r="1410">
          <cell r="L1410" t="str">
            <v>WA2502SO15BK</v>
          </cell>
          <cell r="BW1410">
            <v>72</v>
          </cell>
        </row>
        <row r="1411">
          <cell r="L1411" t="str">
            <v>WA2502SO15BL</v>
          </cell>
          <cell r="BW1411">
            <v>137</v>
          </cell>
        </row>
        <row r="1412">
          <cell r="L1412" t="str">
            <v>WA2502SO15BL</v>
          </cell>
          <cell r="BW1412">
            <v>185</v>
          </cell>
        </row>
        <row r="1413">
          <cell r="L1413" t="str">
            <v>WA2502SO15BL</v>
          </cell>
          <cell r="BW1413">
            <v>168</v>
          </cell>
        </row>
        <row r="1414">
          <cell r="L1414" t="str">
            <v>WA2502SO15BL</v>
          </cell>
          <cell r="BW1414">
            <v>90</v>
          </cell>
        </row>
        <row r="1415">
          <cell r="L1415" t="str">
            <v>WA2502SO15GR</v>
          </cell>
          <cell r="BW1415">
            <v>502</v>
          </cell>
        </row>
        <row r="1416">
          <cell r="L1416" t="str">
            <v>WA2502SO15GR</v>
          </cell>
          <cell r="BW1416">
            <v>613</v>
          </cell>
        </row>
        <row r="1417">
          <cell r="L1417" t="str">
            <v>WA2502SO15GR</v>
          </cell>
          <cell r="BW1417">
            <v>358</v>
          </cell>
        </row>
        <row r="1418">
          <cell r="L1418" t="str">
            <v>WA2502SO15GR</v>
          </cell>
          <cell r="BW1418">
            <v>127</v>
          </cell>
        </row>
        <row r="1419">
          <cell r="L1419" t="str">
            <v>WA2502SO15LK</v>
          </cell>
          <cell r="BW1419">
            <v>338</v>
          </cell>
        </row>
        <row r="1420">
          <cell r="L1420" t="str">
            <v>WA2502SO15LK</v>
          </cell>
          <cell r="BW1420">
            <v>382</v>
          </cell>
        </row>
        <row r="1421">
          <cell r="L1421" t="str">
            <v>WA2502SO15LK</v>
          </cell>
          <cell r="BW1421">
            <v>345</v>
          </cell>
        </row>
        <row r="1422">
          <cell r="L1422" t="str">
            <v>WA2502SO15LK</v>
          </cell>
          <cell r="BW1422">
            <v>210</v>
          </cell>
        </row>
        <row r="1423">
          <cell r="L1423" t="str">
            <v>WA2502SO16CH</v>
          </cell>
          <cell r="BW1423">
            <v>193</v>
          </cell>
        </row>
        <row r="1424">
          <cell r="L1424" t="str">
            <v>WA2502SO16CH</v>
          </cell>
          <cell r="BW1424">
            <v>250</v>
          </cell>
        </row>
        <row r="1425">
          <cell r="L1425" t="str">
            <v>WA2502SO16CH</v>
          </cell>
          <cell r="BW1425">
            <v>150</v>
          </cell>
        </row>
        <row r="1426">
          <cell r="L1426" t="str">
            <v>WA2502SO16CH</v>
          </cell>
          <cell r="BW1426">
            <v>42</v>
          </cell>
        </row>
        <row r="1427">
          <cell r="L1427" t="str">
            <v>WA2502SO16GR</v>
          </cell>
          <cell r="BW1427">
            <v>114</v>
          </cell>
        </row>
        <row r="1428">
          <cell r="L1428" t="str">
            <v>WA2502SO16GR</v>
          </cell>
          <cell r="BW1428">
            <v>133</v>
          </cell>
        </row>
        <row r="1429">
          <cell r="L1429" t="str">
            <v>WA2502SO16GR</v>
          </cell>
          <cell r="BW1429">
            <v>119</v>
          </cell>
        </row>
        <row r="1430">
          <cell r="L1430" t="str">
            <v>WA2502SO16GR</v>
          </cell>
          <cell r="BW1430">
            <v>73</v>
          </cell>
        </row>
        <row r="1431">
          <cell r="L1431" t="str">
            <v>WA2502SO16KH</v>
          </cell>
          <cell r="BW1431">
            <v>158</v>
          </cell>
        </row>
        <row r="1432">
          <cell r="L1432" t="str">
            <v>WA2502SO16KH</v>
          </cell>
          <cell r="BW1432">
            <v>183</v>
          </cell>
        </row>
        <row r="1433">
          <cell r="L1433" t="str">
            <v>WA2502SO16KH</v>
          </cell>
          <cell r="BW1433">
            <v>156</v>
          </cell>
        </row>
        <row r="1434">
          <cell r="L1434" t="str">
            <v>WA2502SO16KH</v>
          </cell>
          <cell r="BW1434">
            <v>80</v>
          </cell>
        </row>
        <row r="1435">
          <cell r="L1435" t="str">
            <v>WA2502SO17BE</v>
          </cell>
          <cell r="BW1435">
            <v>36</v>
          </cell>
        </row>
        <row r="1436">
          <cell r="L1436" t="str">
            <v>WA2502SO17BE</v>
          </cell>
          <cell r="BW1436">
            <v>65</v>
          </cell>
        </row>
        <row r="1437">
          <cell r="L1437" t="str">
            <v>WA2502SO17BE</v>
          </cell>
          <cell r="BW1437">
            <v>56</v>
          </cell>
        </row>
        <row r="1438">
          <cell r="L1438" t="str">
            <v>WA2502SO17BE</v>
          </cell>
          <cell r="BW1438">
            <v>20</v>
          </cell>
        </row>
        <row r="1439">
          <cell r="L1439" t="str">
            <v>WA2502SO17BK</v>
          </cell>
          <cell r="BW1439">
            <v>93</v>
          </cell>
        </row>
        <row r="1440">
          <cell r="L1440" t="str">
            <v>WA2502SO17BK</v>
          </cell>
          <cell r="BW1440">
            <v>104</v>
          </cell>
        </row>
        <row r="1441">
          <cell r="L1441" t="str">
            <v>WA2502SO17BK</v>
          </cell>
          <cell r="BW1441">
            <v>109</v>
          </cell>
        </row>
        <row r="1442">
          <cell r="L1442" t="str">
            <v>WA2502SO17BK</v>
          </cell>
          <cell r="BW1442">
            <v>54</v>
          </cell>
        </row>
        <row r="1443">
          <cell r="L1443" t="str">
            <v>WA2502SO17TC</v>
          </cell>
          <cell r="BW1443">
            <v>125</v>
          </cell>
        </row>
        <row r="1444">
          <cell r="L1444" t="str">
            <v>WA2502SO17TC</v>
          </cell>
          <cell r="BW1444">
            <v>160</v>
          </cell>
        </row>
        <row r="1445">
          <cell r="L1445" t="str">
            <v>WA2502SO17TC</v>
          </cell>
          <cell r="BW1445">
            <v>101</v>
          </cell>
        </row>
        <row r="1446">
          <cell r="L1446" t="str">
            <v>WA2502SO18CH</v>
          </cell>
          <cell r="BW1446">
            <v>97</v>
          </cell>
        </row>
        <row r="1447">
          <cell r="L1447" t="str">
            <v>WA2502SO18CH</v>
          </cell>
          <cell r="BW1447">
            <v>75</v>
          </cell>
        </row>
        <row r="1448">
          <cell r="L1448" t="str">
            <v>WA2502SO18CH</v>
          </cell>
          <cell r="BW1448">
            <v>121</v>
          </cell>
        </row>
        <row r="1449">
          <cell r="L1449" t="str">
            <v>WA2502SO18GN</v>
          </cell>
          <cell r="BW1449">
            <v>111</v>
          </cell>
        </row>
        <row r="1450">
          <cell r="L1450" t="str">
            <v>WA2502SO18GN</v>
          </cell>
          <cell r="BW1450">
            <v>75</v>
          </cell>
        </row>
        <row r="1451">
          <cell r="L1451" t="str">
            <v>WA2502SO18GN</v>
          </cell>
          <cell r="BW1451">
            <v>117</v>
          </cell>
        </row>
        <row r="1452">
          <cell r="L1452" t="str">
            <v>WA2502SO52CM</v>
          </cell>
          <cell r="BW1452">
            <v>37</v>
          </cell>
        </row>
        <row r="1453">
          <cell r="L1453" t="str">
            <v>WA2502SO52CM</v>
          </cell>
          <cell r="BW1453">
            <v>91</v>
          </cell>
        </row>
        <row r="1454">
          <cell r="L1454" t="str">
            <v>WA2502SO52DN</v>
          </cell>
          <cell r="BW1454">
            <v>115</v>
          </cell>
        </row>
        <row r="1455">
          <cell r="L1455" t="str">
            <v>WA2502SO52DN</v>
          </cell>
          <cell r="BW1455">
            <v>476</v>
          </cell>
        </row>
        <row r="1456">
          <cell r="L1456" t="str">
            <v>WA2502SO52LG</v>
          </cell>
          <cell r="BW1456">
            <v>35</v>
          </cell>
        </row>
        <row r="1457">
          <cell r="L1457" t="str">
            <v>WA2502SO52LG</v>
          </cell>
          <cell r="BW1457">
            <v>45</v>
          </cell>
        </row>
        <row r="1458">
          <cell r="L1458" t="str">
            <v>WA2502SO61BL</v>
          </cell>
          <cell r="BW1458">
            <v>11</v>
          </cell>
        </row>
        <row r="1459">
          <cell r="L1459" t="str">
            <v>WA2502SO61BL</v>
          </cell>
          <cell r="BW1459">
            <v>196</v>
          </cell>
        </row>
        <row r="1460">
          <cell r="L1460" t="str">
            <v>WA2502SO61LB</v>
          </cell>
          <cell r="BW1460">
            <v>31</v>
          </cell>
        </row>
        <row r="1461">
          <cell r="L1461" t="str">
            <v>WA2502SO61LB</v>
          </cell>
          <cell r="BW1461">
            <v>215</v>
          </cell>
        </row>
        <row r="1462">
          <cell r="L1462" t="str">
            <v>WA2502SO62BK</v>
          </cell>
          <cell r="BW1462">
            <v>10</v>
          </cell>
        </row>
        <row r="1463">
          <cell r="L1463" t="str">
            <v>WA2502SO62BK</v>
          </cell>
          <cell r="BW1463">
            <v>6</v>
          </cell>
        </row>
        <row r="1464">
          <cell r="L1464" t="str">
            <v>WA2502SO62BL</v>
          </cell>
          <cell r="BW1464">
            <v>33</v>
          </cell>
        </row>
        <row r="1465">
          <cell r="L1465" t="str">
            <v>WA2502SO62BL</v>
          </cell>
          <cell r="BW1465">
            <v>21</v>
          </cell>
        </row>
        <row r="1466">
          <cell r="L1466" t="str">
            <v>WA2502SO63GR</v>
          </cell>
          <cell r="BW1466">
            <v>229</v>
          </cell>
        </row>
        <row r="1467">
          <cell r="L1467" t="str">
            <v>WA2502SO63GR</v>
          </cell>
          <cell r="BW1467">
            <v>514</v>
          </cell>
        </row>
        <row r="1468">
          <cell r="L1468" t="str">
            <v>WA2502SO63MI</v>
          </cell>
          <cell r="BW1468">
            <v>137</v>
          </cell>
        </row>
        <row r="1469">
          <cell r="L1469" t="str">
            <v>WA2502SO63MI</v>
          </cell>
          <cell r="BW1469">
            <v>310</v>
          </cell>
        </row>
        <row r="1470">
          <cell r="L1470" t="str">
            <v>WA2502SO63SB</v>
          </cell>
          <cell r="BW1470">
            <v>179</v>
          </cell>
        </row>
        <row r="1471">
          <cell r="L1471" t="str">
            <v>WA2502SO63SB</v>
          </cell>
          <cell r="BW1471">
            <v>411</v>
          </cell>
        </row>
        <row r="1472">
          <cell r="L1472" t="str">
            <v>WA2502SO65BK</v>
          </cell>
          <cell r="BW1472">
            <v>204</v>
          </cell>
        </row>
        <row r="1473">
          <cell r="L1473" t="str">
            <v>WA2502SO65BK</v>
          </cell>
          <cell r="BW1473">
            <v>397</v>
          </cell>
        </row>
        <row r="1474">
          <cell r="L1474" t="str">
            <v>WA2502SO65CM</v>
          </cell>
          <cell r="BW1474">
            <v>183</v>
          </cell>
        </row>
        <row r="1475">
          <cell r="L1475" t="str">
            <v>WA2502SO65CM</v>
          </cell>
          <cell r="BW1475">
            <v>357</v>
          </cell>
        </row>
        <row r="1476">
          <cell r="L1476" t="str">
            <v>WA2502SO65SB</v>
          </cell>
          <cell r="BW1476">
            <v>162</v>
          </cell>
        </row>
        <row r="1477">
          <cell r="L1477" t="str">
            <v>WA2502SO65SB</v>
          </cell>
          <cell r="BW1477">
            <v>313</v>
          </cell>
        </row>
        <row r="1478">
          <cell r="L1478" t="str">
            <v>WA2502SO66SB</v>
          </cell>
          <cell r="BW1478">
            <v>185</v>
          </cell>
        </row>
        <row r="1479">
          <cell r="L1479" t="str">
            <v>WA2502SO66SB</v>
          </cell>
          <cell r="BW1479">
            <v>334</v>
          </cell>
        </row>
        <row r="1480">
          <cell r="L1480" t="str">
            <v>WA2502SO67BE</v>
          </cell>
          <cell r="BW1480">
            <v>126</v>
          </cell>
        </row>
        <row r="1481">
          <cell r="L1481" t="str">
            <v>WA2502SO67BE</v>
          </cell>
          <cell r="BW1481">
            <v>207</v>
          </cell>
        </row>
        <row r="1482">
          <cell r="L1482" t="str">
            <v>WA2502SO67BK</v>
          </cell>
          <cell r="BW1482">
            <v>226</v>
          </cell>
        </row>
        <row r="1483">
          <cell r="L1483" t="str">
            <v>WA2502SO67BK</v>
          </cell>
          <cell r="BW1483">
            <v>368</v>
          </cell>
        </row>
        <row r="1484">
          <cell r="L1484" t="str">
            <v>WA2502SO68DN</v>
          </cell>
          <cell r="BW1484">
            <v>125</v>
          </cell>
        </row>
        <row r="1485">
          <cell r="L1485" t="str">
            <v>WA2502SO68DN</v>
          </cell>
          <cell r="BW1485">
            <v>295</v>
          </cell>
        </row>
        <row r="1486">
          <cell r="L1486" t="str">
            <v>WA2502SO68PI</v>
          </cell>
          <cell r="BW1486">
            <v>79</v>
          </cell>
        </row>
        <row r="1487">
          <cell r="L1487" t="str">
            <v>WA2502SO68PI</v>
          </cell>
          <cell r="BW1487">
            <v>168</v>
          </cell>
        </row>
        <row r="1488">
          <cell r="L1488" t="str">
            <v>WA2502SO81GN</v>
          </cell>
          <cell r="BW1488">
            <v>120</v>
          </cell>
        </row>
        <row r="1489">
          <cell r="L1489" t="str">
            <v>WA2502SO81GN</v>
          </cell>
          <cell r="BW1489">
            <v>60</v>
          </cell>
        </row>
        <row r="1490">
          <cell r="L1490" t="str">
            <v>WA2502SO81GN</v>
          </cell>
          <cell r="BW1490">
            <v>166</v>
          </cell>
        </row>
        <row r="1491">
          <cell r="L1491" t="str">
            <v>WA2502SO81LG</v>
          </cell>
          <cell r="BW1491">
            <v>208</v>
          </cell>
        </row>
        <row r="1492">
          <cell r="L1492" t="str">
            <v>WA2502SO81LG</v>
          </cell>
          <cell r="BW1492">
            <v>103</v>
          </cell>
        </row>
        <row r="1493">
          <cell r="L1493" t="str">
            <v>WA2502SO81LG</v>
          </cell>
          <cell r="BW1493">
            <v>280</v>
          </cell>
        </row>
        <row r="1494">
          <cell r="L1494" t="str">
            <v>WA2502SO81NA</v>
          </cell>
          <cell r="BW1494">
            <v>122</v>
          </cell>
        </row>
        <row r="1495">
          <cell r="L1495" t="str">
            <v>WA2502SO81NA</v>
          </cell>
          <cell r="BW1495">
            <v>61</v>
          </cell>
        </row>
        <row r="1496">
          <cell r="L1496" t="str">
            <v>WA2502SO81NA</v>
          </cell>
          <cell r="BW1496">
            <v>169</v>
          </cell>
        </row>
        <row r="1497">
          <cell r="L1497" t="str">
            <v>WA2502SOL5CM</v>
          </cell>
          <cell r="BW1497">
            <v>12</v>
          </cell>
        </row>
        <row r="1498">
          <cell r="L1498" t="str">
            <v>WA2502SOL5CM</v>
          </cell>
          <cell r="BW1498">
            <v>30</v>
          </cell>
        </row>
        <row r="1499">
          <cell r="L1499" t="str">
            <v>WA2502SOL5IN</v>
          </cell>
          <cell r="BW1499">
            <v>19</v>
          </cell>
        </row>
        <row r="1500">
          <cell r="L1500" t="str">
            <v>WA2502SOL5IN</v>
          </cell>
          <cell r="BW1500">
            <v>36</v>
          </cell>
        </row>
        <row r="1501">
          <cell r="L1501" t="str">
            <v>WA2502SR62BK</v>
          </cell>
          <cell r="BW1501">
            <v>72</v>
          </cell>
        </row>
        <row r="1502">
          <cell r="L1502" t="str">
            <v>WA2502SR62BK</v>
          </cell>
          <cell r="BW1502">
            <v>145</v>
          </cell>
        </row>
        <row r="1503">
          <cell r="L1503" t="str">
            <v>WA2502SR62GR</v>
          </cell>
          <cell r="BW1503">
            <v>97</v>
          </cell>
        </row>
        <row r="1504">
          <cell r="L1504" t="str">
            <v>WA2502SR62GR</v>
          </cell>
          <cell r="BW1504">
            <v>144</v>
          </cell>
        </row>
        <row r="1505">
          <cell r="L1505" t="str">
            <v>WA2502SR63WH</v>
          </cell>
          <cell r="BW1505">
            <v>3</v>
          </cell>
        </row>
        <row r="1506">
          <cell r="L1506" t="str">
            <v>WA2502SR63WH</v>
          </cell>
          <cell r="BW1506">
            <v>3</v>
          </cell>
        </row>
        <row r="1507">
          <cell r="L1507" t="str">
            <v>WA2502SR65BK</v>
          </cell>
          <cell r="BW1507">
            <v>57</v>
          </cell>
        </row>
        <row r="1508">
          <cell r="L1508" t="str">
            <v>WA2502SR65BK</v>
          </cell>
          <cell r="BW1508">
            <v>156</v>
          </cell>
        </row>
        <row r="1509">
          <cell r="L1509" t="str">
            <v>WA2502SR65OT</v>
          </cell>
          <cell r="BW1509">
            <v>117</v>
          </cell>
        </row>
        <row r="1510">
          <cell r="L1510" t="str">
            <v>WA2502SR65OT</v>
          </cell>
          <cell r="BW1510">
            <v>183</v>
          </cell>
        </row>
        <row r="1511">
          <cell r="L1511" t="str">
            <v>WA2502SS01BL</v>
          </cell>
          <cell r="BW1511">
            <v>279</v>
          </cell>
        </row>
        <row r="1512">
          <cell r="L1512" t="str">
            <v>WA2502SS01BL</v>
          </cell>
          <cell r="BW1512">
            <v>920</v>
          </cell>
        </row>
        <row r="1513">
          <cell r="L1513" t="str">
            <v>WA2502SS01BL</v>
          </cell>
          <cell r="BW1513">
            <v>926</v>
          </cell>
        </row>
        <row r="1514">
          <cell r="L1514" t="str">
            <v>WA2502SS01BL</v>
          </cell>
          <cell r="BW1514">
            <v>198</v>
          </cell>
        </row>
        <row r="1515">
          <cell r="L1515" t="str">
            <v>WA2502SS01GR</v>
          </cell>
          <cell r="BW1515">
            <v>172</v>
          </cell>
        </row>
        <row r="1516">
          <cell r="L1516" t="str">
            <v>WA2502SS01GR</v>
          </cell>
          <cell r="BW1516">
            <v>245</v>
          </cell>
        </row>
        <row r="1517">
          <cell r="L1517" t="str">
            <v>WA2502SS01GR</v>
          </cell>
          <cell r="BW1517">
            <v>379</v>
          </cell>
        </row>
        <row r="1518">
          <cell r="L1518" t="str">
            <v>WA2502SS01GR</v>
          </cell>
          <cell r="BW1518">
            <v>94</v>
          </cell>
        </row>
        <row r="1519">
          <cell r="L1519" t="str">
            <v>WA2502SS01PI</v>
          </cell>
          <cell r="BW1519">
            <v>295</v>
          </cell>
        </row>
        <row r="1520">
          <cell r="L1520" t="str">
            <v>WA2502SS01PI</v>
          </cell>
          <cell r="BW1520">
            <v>317</v>
          </cell>
        </row>
        <row r="1521">
          <cell r="L1521" t="str">
            <v>WA2502SS01PI</v>
          </cell>
          <cell r="BW1521">
            <v>392</v>
          </cell>
        </row>
        <row r="1522">
          <cell r="L1522" t="str">
            <v>WA2502SS01PI</v>
          </cell>
          <cell r="BW1522">
            <v>167</v>
          </cell>
        </row>
        <row r="1523">
          <cell r="L1523" t="str">
            <v>WA2502SS01WH</v>
          </cell>
          <cell r="BW1523">
            <v>633</v>
          </cell>
        </row>
        <row r="1524">
          <cell r="L1524" t="str">
            <v>WA2502SS01WH</v>
          </cell>
          <cell r="BW1524">
            <v>788</v>
          </cell>
        </row>
        <row r="1525">
          <cell r="L1525" t="str">
            <v>WA2502SS01WH</v>
          </cell>
          <cell r="BW1525">
            <v>1043</v>
          </cell>
        </row>
        <row r="1526">
          <cell r="L1526" t="str">
            <v>WA2502SS01WH</v>
          </cell>
          <cell r="BW1526">
            <v>457</v>
          </cell>
        </row>
        <row r="1527">
          <cell r="L1527" t="str">
            <v>WA2502SS11BK</v>
          </cell>
          <cell r="BW1527">
            <v>147</v>
          </cell>
        </row>
        <row r="1528">
          <cell r="L1528" t="str">
            <v>WA2502SS11BK</v>
          </cell>
          <cell r="BW1528">
            <v>404</v>
          </cell>
        </row>
        <row r="1529">
          <cell r="L1529" t="str">
            <v>WA2502SS11BK</v>
          </cell>
          <cell r="BW1529">
            <v>468</v>
          </cell>
        </row>
        <row r="1530">
          <cell r="L1530" t="str">
            <v>WA2502SS11BK</v>
          </cell>
          <cell r="BW1530">
            <v>107</v>
          </cell>
        </row>
        <row r="1531">
          <cell r="L1531" t="str">
            <v>WA2502SS11BL</v>
          </cell>
          <cell r="BW1531">
            <v>93</v>
          </cell>
        </row>
        <row r="1532">
          <cell r="L1532" t="str">
            <v>WA2502SS11BL</v>
          </cell>
          <cell r="BW1532">
            <v>226</v>
          </cell>
        </row>
        <row r="1533">
          <cell r="L1533" t="str">
            <v>WA2502SS11BL</v>
          </cell>
          <cell r="BW1533">
            <v>272</v>
          </cell>
        </row>
        <row r="1534">
          <cell r="L1534" t="str">
            <v>WA2502SS11BL</v>
          </cell>
          <cell r="BW1534">
            <v>46</v>
          </cell>
        </row>
        <row r="1535">
          <cell r="L1535" t="str">
            <v>WA2502SS11SB</v>
          </cell>
          <cell r="BW1535">
            <v>78</v>
          </cell>
        </row>
        <row r="1536">
          <cell r="L1536" t="str">
            <v>WA2502SS11SB</v>
          </cell>
          <cell r="BW1536">
            <v>127</v>
          </cell>
        </row>
        <row r="1537">
          <cell r="L1537" t="str">
            <v>WA2502SS11SB</v>
          </cell>
          <cell r="BW1537">
            <v>143</v>
          </cell>
        </row>
        <row r="1538">
          <cell r="L1538" t="str">
            <v>WA2502SS11SB</v>
          </cell>
          <cell r="BW1538">
            <v>48</v>
          </cell>
        </row>
        <row r="1539">
          <cell r="L1539" t="str">
            <v>WA2502SS12BK</v>
          </cell>
          <cell r="BW1539">
            <v>114</v>
          </cell>
        </row>
        <row r="1540">
          <cell r="L1540" t="str">
            <v>WA2502SS12BK</v>
          </cell>
          <cell r="BW1540">
            <v>178</v>
          </cell>
        </row>
        <row r="1541">
          <cell r="L1541" t="str">
            <v>WA2502SS12BK</v>
          </cell>
          <cell r="BW1541">
            <v>195</v>
          </cell>
        </row>
        <row r="1542">
          <cell r="L1542" t="str">
            <v>WA2502SS12BK</v>
          </cell>
          <cell r="BW1542">
            <v>66</v>
          </cell>
        </row>
        <row r="1543">
          <cell r="L1543" t="str">
            <v>WA2502SS12SB</v>
          </cell>
          <cell r="BW1543">
            <v>96</v>
          </cell>
        </row>
        <row r="1544">
          <cell r="L1544" t="str">
            <v>WA2502SS12SB</v>
          </cell>
          <cell r="BW1544">
            <v>159</v>
          </cell>
        </row>
        <row r="1545">
          <cell r="L1545" t="str">
            <v>WA2502SS12SB</v>
          </cell>
          <cell r="BW1545">
            <v>123</v>
          </cell>
        </row>
        <row r="1546">
          <cell r="L1546" t="str">
            <v>WA2502SS12SB</v>
          </cell>
          <cell r="BW1546">
            <v>49</v>
          </cell>
        </row>
        <row r="1547">
          <cell r="L1547" t="str">
            <v>WA2502SS13BE</v>
          </cell>
          <cell r="BW1547">
            <v>206</v>
          </cell>
        </row>
        <row r="1548">
          <cell r="L1548" t="str">
            <v>WA2502SS13BE</v>
          </cell>
          <cell r="BW1548">
            <v>253</v>
          </cell>
        </row>
        <row r="1549">
          <cell r="L1549" t="str">
            <v>WA2502SS13BE</v>
          </cell>
          <cell r="BW1549">
            <v>329</v>
          </cell>
        </row>
        <row r="1550">
          <cell r="L1550" t="str">
            <v>WA2502SS13BE</v>
          </cell>
          <cell r="BW1550">
            <v>130</v>
          </cell>
        </row>
        <row r="1551">
          <cell r="L1551" t="str">
            <v>WA2502SS13NA</v>
          </cell>
          <cell r="BW1551">
            <v>217</v>
          </cell>
        </row>
        <row r="1552">
          <cell r="L1552" t="str">
            <v>WA2502SS13NA</v>
          </cell>
          <cell r="BW1552">
            <v>280</v>
          </cell>
        </row>
        <row r="1553">
          <cell r="L1553" t="str">
            <v>WA2502SS13NA</v>
          </cell>
          <cell r="BW1553">
            <v>204</v>
          </cell>
        </row>
        <row r="1554">
          <cell r="L1554" t="str">
            <v>WA2502SS13NA</v>
          </cell>
          <cell r="BW1554">
            <v>167</v>
          </cell>
        </row>
        <row r="1555">
          <cell r="L1555" t="str">
            <v>WA2502SS13SB</v>
          </cell>
          <cell r="BW1555">
            <v>170</v>
          </cell>
        </row>
        <row r="1556">
          <cell r="L1556" t="str">
            <v>WA2502SS13SB</v>
          </cell>
          <cell r="BW1556">
            <v>165</v>
          </cell>
        </row>
        <row r="1557">
          <cell r="L1557" t="str">
            <v>WA2502SS13SB</v>
          </cell>
          <cell r="BW1557">
            <v>154</v>
          </cell>
        </row>
        <row r="1558">
          <cell r="L1558" t="str">
            <v>WA2502SS13SB</v>
          </cell>
          <cell r="BW1558">
            <v>93</v>
          </cell>
        </row>
        <row r="1559">
          <cell r="L1559" t="str">
            <v>WA2502SS14BL</v>
          </cell>
          <cell r="BW1559">
            <v>33</v>
          </cell>
        </row>
        <row r="1560">
          <cell r="L1560" t="str">
            <v>WA2502SS14BL</v>
          </cell>
          <cell r="BW1560">
            <v>44</v>
          </cell>
        </row>
        <row r="1561">
          <cell r="L1561" t="str">
            <v>WA2502SS14BL</v>
          </cell>
          <cell r="BW1561">
            <v>4</v>
          </cell>
        </row>
        <row r="1562">
          <cell r="L1562" t="str">
            <v>WA2502SS14BL</v>
          </cell>
          <cell r="BW1562">
            <v>37</v>
          </cell>
        </row>
        <row r="1563">
          <cell r="L1563" t="str">
            <v>WA2502SS14GR</v>
          </cell>
          <cell r="BW1563">
            <v>38</v>
          </cell>
        </row>
        <row r="1564">
          <cell r="L1564" t="str">
            <v>WA2502SS14GR</v>
          </cell>
          <cell r="BW1564">
            <v>87</v>
          </cell>
        </row>
        <row r="1565">
          <cell r="L1565" t="str">
            <v>WA2502SS14GR</v>
          </cell>
          <cell r="BW1565">
            <v>17</v>
          </cell>
        </row>
        <row r="1566">
          <cell r="L1566" t="str">
            <v>WA2502SS14GR</v>
          </cell>
          <cell r="BW1566">
            <v>28</v>
          </cell>
        </row>
        <row r="1567">
          <cell r="L1567" t="str">
            <v>WA2502SS15CM</v>
          </cell>
          <cell r="BW1567">
            <v>62</v>
          </cell>
        </row>
        <row r="1568">
          <cell r="L1568" t="str">
            <v>WA2502SS15CM</v>
          </cell>
          <cell r="BW1568">
            <v>104</v>
          </cell>
        </row>
        <row r="1569">
          <cell r="L1569" t="str">
            <v>WA2502SS15CM</v>
          </cell>
          <cell r="BW1569">
            <v>71</v>
          </cell>
        </row>
        <row r="1570">
          <cell r="L1570" t="str">
            <v>WA2502SS16TC</v>
          </cell>
          <cell r="BW1570">
            <v>116</v>
          </cell>
        </row>
        <row r="1571">
          <cell r="L1571" t="str">
            <v>WA2502SS16TC</v>
          </cell>
          <cell r="BW1571">
            <v>158</v>
          </cell>
        </row>
        <row r="1572">
          <cell r="L1572" t="str">
            <v>WA2502SS16TC</v>
          </cell>
          <cell r="BW1572">
            <v>143</v>
          </cell>
        </row>
        <row r="1573">
          <cell r="L1573" t="str">
            <v>WA2502SS61LY</v>
          </cell>
          <cell r="BW1573">
            <v>180</v>
          </cell>
        </row>
        <row r="1574">
          <cell r="L1574" t="str">
            <v>WA2502SS61SB</v>
          </cell>
          <cell r="BW1574">
            <v>225</v>
          </cell>
        </row>
        <row r="1575">
          <cell r="L1575" t="str">
            <v>WA2502SS61WH</v>
          </cell>
          <cell r="BW1575">
            <v>266</v>
          </cell>
        </row>
        <row r="1576">
          <cell r="L1576" t="str">
            <v>WA2502SS62DN</v>
          </cell>
          <cell r="BW1576">
            <v>83</v>
          </cell>
        </row>
        <row r="1577">
          <cell r="L1577" t="str">
            <v>WA2502SS62MN</v>
          </cell>
          <cell r="BW1577">
            <v>6</v>
          </cell>
        </row>
        <row r="1578">
          <cell r="L1578" t="str">
            <v>WA2502SS63WH</v>
          </cell>
          <cell r="BW1578">
            <v>143</v>
          </cell>
        </row>
        <row r="1579">
          <cell r="L1579" t="str">
            <v>WA2502ST01BK</v>
          </cell>
          <cell r="BW1579">
            <v>1154</v>
          </cell>
        </row>
        <row r="1580">
          <cell r="L1580" t="str">
            <v>WA2502ST01BK</v>
          </cell>
          <cell r="BW1580">
            <v>1772</v>
          </cell>
        </row>
        <row r="1581">
          <cell r="L1581" t="str">
            <v>WA2502ST01BK</v>
          </cell>
          <cell r="BW1581">
            <v>1514</v>
          </cell>
        </row>
        <row r="1582">
          <cell r="L1582" t="str">
            <v>WA2502ST01BK</v>
          </cell>
          <cell r="BW1582">
            <v>434</v>
          </cell>
        </row>
        <row r="1583">
          <cell r="L1583" t="str">
            <v>WA2502ST01BK</v>
          </cell>
          <cell r="BW1583">
            <v>146</v>
          </cell>
        </row>
        <row r="1584">
          <cell r="L1584" t="str">
            <v>WA2502ST01BK</v>
          </cell>
          <cell r="BW1584">
            <v>54</v>
          </cell>
        </row>
        <row r="1585">
          <cell r="L1585" t="str">
            <v>WA2502ST01BL</v>
          </cell>
          <cell r="BW1585">
            <v>55</v>
          </cell>
        </row>
        <row r="1586">
          <cell r="L1586" t="str">
            <v>WA2502ST01BL</v>
          </cell>
          <cell r="BW1586">
            <v>58</v>
          </cell>
        </row>
        <row r="1587">
          <cell r="L1587" t="str">
            <v>WA2502ST01BL</v>
          </cell>
          <cell r="BW1587">
            <v>55</v>
          </cell>
        </row>
        <row r="1588">
          <cell r="L1588" t="str">
            <v>WA2502ST01BL</v>
          </cell>
          <cell r="BW1588">
            <v>60</v>
          </cell>
        </row>
        <row r="1589">
          <cell r="L1589" t="str">
            <v>WA2502ST01BL</v>
          </cell>
          <cell r="BW1589">
            <v>24</v>
          </cell>
        </row>
        <row r="1590">
          <cell r="L1590" t="str">
            <v>WA2502ST01BL</v>
          </cell>
          <cell r="BW1590">
            <v>46</v>
          </cell>
        </row>
        <row r="1591">
          <cell r="L1591" t="str">
            <v>WA2502ST01LG</v>
          </cell>
          <cell r="BW1591">
            <v>292</v>
          </cell>
        </row>
        <row r="1592">
          <cell r="L1592" t="str">
            <v>WA2502ST01LG</v>
          </cell>
          <cell r="BW1592">
            <v>227</v>
          </cell>
        </row>
        <row r="1593">
          <cell r="L1593" t="str">
            <v>WA2502ST01LG</v>
          </cell>
          <cell r="BW1593">
            <v>141</v>
          </cell>
        </row>
        <row r="1594">
          <cell r="L1594" t="str">
            <v>WA2502ST01LG</v>
          </cell>
          <cell r="BW1594">
            <v>191</v>
          </cell>
        </row>
        <row r="1595">
          <cell r="L1595" t="str">
            <v>WA2502ST01LG</v>
          </cell>
          <cell r="BW1595">
            <v>40</v>
          </cell>
        </row>
        <row r="1596">
          <cell r="L1596" t="str">
            <v>WA2502ST01LG</v>
          </cell>
          <cell r="BW1596">
            <v>169</v>
          </cell>
        </row>
        <row r="1597">
          <cell r="L1597" t="str">
            <v>WA2502ST01PI</v>
          </cell>
          <cell r="BW1597">
            <v>67</v>
          </cell>
        </row>
        <row r="1598">
          <cell r="L1598" t="str">
            <v>WA2502ST01PI</v>
          </cell>
          <cell r="BW1598">
            <v>50</v>
          </cell>
        </row>
        <row r="1599">
          <cell r="L1599" t="str">
            <v>WA2502ST01PI</v>
          </cell>
          <cell r="BW1599">
            <v>32</v>
          </cell>
        </row>
        <row r="1600">
          <cell r="L1600" t="str">
            <v>WA2502ST01PI</v>
          </cell>
          <cell r="BW1600">
            <v>68</v>
          </cell>
        </row>
        <row r="1601">
          <cell r="L1601" t="str">
            <v>WA2502ST01PI</v>
          </cell>
          <cell r="BW1601">
            <v>14</v>
          </cell>
        </row>
        <row r="1602">
          <cell r="L1602" t="str">
            <v>WA2502ST01PI</v>
          </cell>
          <cell r="BW1602">
            <v>43</v>
          </cell>
        </row>
        <row r="1603">
          <cell r="L1603" t="str">
            <v>WA2502ST01WH</v>
          </cell>
          <cell r="BW1603">
            <v>2357</v>
          </cell>
        </row>
        <row r="1604">
          <cell r="L1604" t="str">
            <v>WA2502ST01WH</v>
          </cell>
          <cell r="BW1604">
            <v>2249</v>
          </cell>
        </row>
        <row r="1605">
          <cell r="L1605" t="str">
            <v>WA2502ST01WH</v>
          </cell>
          <cell r="BW1605">
            <v>1158</v>
          </cell>
        </row>
        <row r="1606">
          <cell r="L1606" t="str">
            <v>WA2502ST01WH</v>
          </cell>
          <cell r="BW1606">
            <v>1639</v>
          </cell>
        </row>
        <row r="1607">
          <cell r="L1607" t="str">
            <v>WA2502ST01WH</v>
          </cell>
          <cell r="BW1607">
            <v>28</v>
          </cell>
        </row>
        <row r="1608">
          <cell r="L1608" t="str">
            <v>WA2502ST01WH</v>
          </cell>
          <cell r="BW1608">
            <v>520</v>
          </cell>
        </row>
        <row r="1609">
          <cell r="L1609" t="str">
            <v>WA2502ST02BK</v>
          </cell>
          <cell r="BW1609">
            <v>85</v>
          </cell>
        </row>
        <row r="1610">
          <cell r="L1610" t="str">
            <v>WA2502ST02BK</v>
          </cell>
          <cell r="BW1610">
            <v>137</v>
          </cell>
        </row>
        <row r="1611">
          <cell r="L1611" t="str">
            <v>WA2502ST02BK</v>
          </cell>
          <cell r="BW1611">
            <v>201</v>
          </cell>
        </row>
        <row r="1612">
          <cell r="L1612" t="str">
            <v>WA2502ST02BK</v>
          </cell>
          <cell r="BW1612">
            <v>33</v>
          </cell>
        </row>
        <row r="1613">
          <cell r="L1613" t="str">
            <v>WA2502ST02BK</v>
          </cell>
          <cell r="BW1613">
            <v>47</v>
          </cell>
        </row>
        <row r="1614">
          <cell r="L1614" t="str">
            <v>WA2502ST02BK</v>
          </cell>
          <cell r="BW1614">
            <v>17</v>
          </cell>
        </row>
        <row r="1615">
          <cell r="L1615" t="str">
            <v>WA2502ST02GN</v>
          </cell>
          <cell r="BW1615">
            <v>81</v>
          </cell>
        </row>
        <row r="1616">
          <cell r="L1616" t="str">
            <v>WA2502ST02GN</v>
          </cell>
          <cell r="BW1616">
            <v>81</v>
          </cell>
        </row>
        <row r="1617">
          <cell r="L1617" t="str">
            <v>WA2502ST02GN</v>
          </cell>
          <cell r="BW1617">
            <v>143</v>
          </cell>
        </row>
        <row r="1618">
          <cell r="L1618" t="str">
            <v>WA2502ST02GN</v>
          </cell>
          <cell r="BW1618">
            <v>42</v>
          </cell>
        </row>
        <row r="1619">
          <cell r="L1619" t="str">
            <v>WA2502ST02GN</v>
          </cell>
          <cell r="BW1619">
            <v>65</v>
          </cell>
        </row>
        <row r="1620">
          <cell r="L1620" t="str">
            <v>WA2502ST02GN</v>
          </cell>
          <cell r="BW1620">
            <v>31</v>
          </cell>
        </row>
        <row r="1621">
          <cell r="L1621" t="str">
            <v>WA2502ST02GR</v>
          </cell>
          <cell r="BW1621">
            <v>815</v>
          </cell>
        </row>
        <row r="1622">
          <cell r="L1622" t="str">
            <v>WA2502ST02GR</v>
          </cell>
          <cell r="BW1622">
            <v>752</v>
          </cell>
        </row>
        <row r="1623">
          <cell r="L1623" t="str">
            <v>WA2502ST02GR</v>
          </cell>
          <cell r="BW1623">
            <v>609</v>
          </cell>
        </row>
        <row r="1624">
          <cell r="L1624" t="str">
            <v>WA2502ST02GR</v>
          </cell>
          <cell r="BW1624">
            <v>425</v>
          </cell>
        </row>
        <row r="1625">
          <cell r="L1625" t="str">
            <v>WA2502ST02GR</v>
          </cell>
          <cell r="BW1625">
            <v>133</v>
          </cell>
        </row>
        <row r="1626">
          <cell r="L1626" t="str">
            <v>WA2502ST02GR</v>
          </cell>
          <cell r="BW1626">
            <v>265</v>
          </cell>
        </row>
        <row r="1627">
          <cell r="L1627" t="str">
            <v>WA2502ST02WH</v>
          </cell>
          <cell r="BW1627">
            <v>221</v>
          </cell>
        </row>
        <row r="1628">
          <cell r="L1628" t="str">
            <v>WA2502ST02WH</v>
          </cell>
          <cell r="BW1628">
            <v>94</v>
          </cell>
        </row>
        <row r="1629">
          <cell r="L1629" t="str">
            <v>WA2502ST02WH</v>
          </cell>
          <cell r="BW1629">
            <v>66</v>
          </cell>
        </row>
        <row r="1630">
          <cell r="L1630" t="str">
            <v>WA2502ST02WH</v>
          </cell>
          <cell r="BW1630">
            <v>236</v>
          </cell>
        </row>
        <row r="1631">
          <cell r="L1631" t="str">
            <v>WA2502ST02WH</v>
          </cell>
          <cell r="BW1631">
            <v>14</v>
          </cell>
        </row>
        <row r="1632">
          <cell r="L1632" t="str">
            <v>WA2502ST02WH</v>
          </cell>
          <cell r="BW1632">
            <v>185</v>
          </cell>
        </row>
        <row r="1633">
          <cell r="L1633" t="str">
            <v>WA2502ST03BK</v>
          </cell>
          <cell r="BW1633">
            <v>185</v>
          </cell>
        </row>
        <row r="1634">
          <cell r="L1634" t="str">
            <v>WA2502ST03BK</v>
          </cell>
          <cell r="BW1634">
            <v>44</v>
          </cell>
        </row>
        <row r="1635">
          <cell r="L1635" t="str">
            <v>WA2502ST03BK</v>
          </cell>
          <cell r="BW1635">
            <v>32</v>
          </cell>
        </row>
        <row r="1636">
          <cell r="L1636" t="str">
            <v>WA2502ST03BK</v>
          </cell>
          <cell r="BW1636">
            <v>273</v>
          </cell>
        </row>
        <row r="1637">
          <cell r="L1637" t="str">
            <v>WA2502ST03BK</v>
          </cell>
          <cell r="BW1637">
            <v>23</v>
          </cell>
        </row>
        <row r="1638">
          <cell r="L1638" t="str">
            <v>WA2502ST03BK</v>
          </cell>
          <cell r="BW1638">
            <v>180</v>
          </cell>
        </row>
        <row r="1639">
          <cell r="L1639" t="str">
            <v>WA2502ST03GN</v>
          </cell>
          <cell r="BW1639">
            <v>134</v>
          </cell>
        </row>
        <row r="1640">
          <cell r="L1640" t="str">
            <v>WA2502ST03GN</v>
          </cell>
          <cell r="BW1640">
            <v>109</v>
          </cell>
        </row>
        <row r="1641">
          <cell r="L1641" t="str">
            <v>WA2502ST03GN</v>
          </cell>
          <cell r="BW1641">
            <v>69</v>
          </cell>
        </row>
        <row r="1642">
          <cell r="L1642" t="str">
            <v>WA2502ST03GN</v>
          </cell>
          <cell r="BW1642">
            <v>82</v>
          </cell>
        </row>
        <row r="1643">
          <cell r="L1643" t="str">
            <v>WA2502ST03GN</v>
          </cell>
          <cell r="BW1643">
            <v>39</v>
          </cell>
        </row>
        <row r="1644">
          <cell r="L1644" t="str">
            <v>WA2502ST03GN</v>
          </cell>
          <cell r="BW1644">
            <v>74</v>
          </cell>
        </row>
        <row r="1645">
          <cell r="L1645" t="str">
            <v>WA2502ST03NA</v>
          </cell>
          <cell r="BW1645">
            <v>98</v>
          </cell>
        </row>
        <row r="1646">
          <cell r="L1646" t="str">
            <v>WA2502ST03NA</v>
          </cell>
          <cell r="BW1646">
            <v>64</v>
          </cell>
        </row>
        <row r="1647">
          <cell r="L1647" t="str">
            <v>WA2502ST03NA</v>
          </cell>
          <cell r="BW1647">
            <v>56</v>
          </cell>
        </row>
        <row r="1648">
          <cell r="L1648" t="str">
            <v>WA2502ST03NA</v>
          </cell>
          <cell r="BW1648">
            <v>69</v>
          </cell>
        </row>
        <row r="1649">
          <cell r="L1649" t="str">
            <v>WA2502ST03NA</v>
          </cell>
          <cell r="BW1649">
            <v>17</v>
          </cell>
        </row>
        <row r="1650">
          <cell r="L1650" t="str">
            <v>WA2502ST03NA</v>
          </cell>
          <cell r="BW1650">
            <v>33</v>
          </cell>
        </row>
        <row r="1651">
          <cell r="L1651" t="str">
            <v>WA2502ST04BL</v>
          </cell>
          <cell r="BW1651">
            <v>45</v>
          </cell>
        </row>
        <row r="1652">
          <cell r="L1652" t="str">
            <v>WA2502ST04BL</v>
          </cell>
          <cell r="BW1652">
            <v>22</v>
          </cell>
        </row>
        <row r="1653">
          <cell r="L1653" t="str">
            <v>WA2502ST04BL</v>
          </cell>
          <cell r="BW1653">
            <v>32</v>
          </cell>
        </row>
        <row r="1654">
          <cell r="L1654" t="str">
            <v>WA2502ST04BL</v>
          </cell>
          <cell r="BW1654">
            <v>51</v>
          </cell>
        </row>
        <row r="1655">
          <cell r="L1655" t="str">
            <v>WA2502ST04CM</v>
          </cell>
          <cell r="BW1655">
            <v>1</v>
          </cell>
        </row>
        <row r="1656">
          <cell r="L1656" t="str">
            <v>WA2502ST04CM</v>
          </cell>
          <cell r="BW1656">
            <v>5</v>
          </cell>
        </row>
        <row r="1657">
          <cell r="L1657" t="str">
            <v>WA2502ST04CM</v>
          </cell>
          <cell r="BW1657">
            <v>2</v>
          </cell>
        </row>
        <row r="1658">
          <cell r="L1658" t="str">
            <v>WA2502ST04CM</v>
          </cell>
          <cell r="BW1658">
            <v>43</v>
          </cell>
        </row>
        <row r="1659">
          <cell r="L1659" t="str">
            <v>WA2502ST05BR</v>
          </cell>
          <cell r="BW1659">
            <v>43</v>
          </cell>
        </row>
        <row r="1660">
          <cell r="L1660" t="str">
            <v>WA2502ST05BR</v>
          </cell>
          <cell r="BW1660">
            <v>47</v>
          </cell>
        </row>
        <row r="1661">
          <cell r="L1661" t="str">
            <v>WA2502ST05BR</v>
          </cell>
          <cell r="BW1661">
            <v>12</v>
          </cell>
        </row>
        <row r="1662">
          <cell r="L1662" t="str">
            <v>WA2502ST05BR</v>
          </cell>
          <cell r="BW1662">
            <v>40</v>
          </cell>
        </row>
        <row r="1663">
          <cell r="L1663" t="str">
            <v>WA2502ST05GN</v>
          </cell>
          <cell r="BW1663">
            <v>9</v>
          </cell>
        </row>
        <row r="1664">
          <cell r="L1664" t="str">
            <v>WA2502ST05GN</v>
          </cell>
          <cell r="BW1664">
            <v>7</v>
          </cell>
        </row>
        <row r="1665">
          <cell r="L1665" t="str">
            <v>WA2502ST05GN</v>
          </cell>
          <cell r="BW1665">
            <v>11</v>
          </cell>
        </row>
        <row r="1666">
          <cell r="L1666" t="str">
            <v>WA2502ST05GN</v>
          </cell>
          <cell r="BW1666">
            <v>14</v>
          </cell>
        </row>
        <row r="1667">
          <cell r="L1667" t="str">
            <v>WA2502ST06BK</v>
          </cell>
          <cell r="BW1667">
            <v>1143</v>
          </cell>
        </row>
        <row r="1668">
          <cell r="L1668" t="str">
            <v>WA2502ST06BK</v>
          </cell>
          <cell r="BW1668">
            <v>1619</v>
          </cell>
        </row>
        <row r="1669">
          <cell r="L1669" t="str">
            <v>WA2502ST06BK</v>
          </cell>
          <cell r="BW1669">
            <v>1767</v>
          </cell>
        </row>
        <row r="1670">
          <cell r="L1670" t="str">
            <v>WA2502ST06BK</v>
          </cell>
          <cell r="BW1670">
            <v>727</v>
          </cell>
        </row>
        <row r="1671">
          <cell r="L1671" t="str">
            <v>WA2502ST06BK</v>
          </cell>
          <cell r="BW1671">
            <v>126</v>
          </cell>
        </row>
        <row r="1672">
          <cell r="L1672" t="str">
            <v>WA2502ST06BL</v>
          </cell>
          <cell r="BW1672">
            <v>73</v>
          </cell>
        </row>
        <row r="1673">
          <cell r="L1673" t="str">
            <v>WA2502ST06BL</v>
          </cell>
          <cell r="BW1673">
            <v>66</v>
          </cell>
        </row>
        <row r="1674">
          <cell r="L1674" t="str">
            <v>WA2502ST06BL</v>
          </cell>
          <cell r="BW1674">
            <v>52</v>
          </cell>
        </row>
        <row r="1675">
          <cell r="L1675" t="str">
            <v>WA2502ST06BL</v>
          </cell>
          <cell r="BW1675">
            <v>59</v>
          </cell>
        </row>
        <row r="1676">
          <cell r="L1676" t="str">
            <v>WA2502ST06BL</v>
          </cell>
          <cell r="BW1676">
            <v>9</v>
          </cell>
        </row>
        <row r="1677">
          <cell r="L1677" t="str">
            <v>WA2502ST06GN</v>
          </cell>
          <cell r="BW1677">
            <v>33</v>
          </cell>
        </row>
        <row r="1678">
          <cell r="L1678" t="str">
            <v>WA2502ST06GN</v>
          </cell>
          <cell r="BW1678">
            <v>29</v>
          </cell>
        </row>
        <row r="1679">
          <cell r="L1679" t="str">
            <v>WA2502ST06GN</v>
          </cell>
          <cell r="BW1679">
            <v>26</v>
          </cell>
        </row>
        <row r="1680">
          <cell r="L1680" t="str">
            <v>WA2502ST06GN</v>
          </cell>
          <cell r="BW1680">
            <v>29</v>
          </cell>
        </row>
        <row r="1681">
          <cell r="L1681" t="str">
            <v>WA2502ST06GN</v>
          </cell>
          <cell r="BW1681">
            <v>33</v>
          </cell>
        </row>
        <row r="1682">
          <cell r="L1682" t="str">
            <v>WA2502ST06GR</v>
          </cell>
          <cell r="BW1682">
            <v>241</v>
          </cell>
        </row>
        <row r="1683">
          <cell r="L1683" t="str">
            <v>WA2502ST06GR</v>
          </cell>
          <cell r="BW1683">
            <v>312</v>
          </cell>
        </row>
        <row r="1684">
          <cell r="L1684" t="str">
            <v>WA2502ST06GR</v>
          </cell>
          <cell r="BW1684">
            <v>368</v>
          </cell>
        </row>
        <row r="1685">
          <cell r="L1685" t="str">
            <v>WA2502ST06GR</v>
          </cell>
          <cell r="BW1685">
            <v>148</v>
          </cell>
        </row>
        <row r="1686">
          <cell r="L1686" t="str">
            <v>WA2502ST06GR</v>
          </cell>
          <cell r="BW1686">
            <v>92</v>
          </cell>
        </row>
        <row r="1687">
          <cell r="L1687" t="str">
            <v>WA2502ST06WH</v>
          </cell>
          <cell r="BW1687">
            <v>1962</v>
          </cell>
        </row>
        <row r="1688">
          <cell r="L1688" t="str">
            <v>WA2502ST06WH</v>
          </cell>
          <cell r="BW1688">
            <v>2383</v>
          </cell>
        </row>
        <row r="1689">
          <cell r="L1689" t="str">
            <v>WA2502ST06WH</v>
          </cell>
          <cell r="BW1689">
            <v>2134</v>
          </cell>
        </row>
        <row r="1690">
          <cell r="L1690" t="str">
            <v>WA2502ST06WH</v>
          </cell>
          <cell r="BW1690">
            <v>1421</v>
          </cell>
        </row>
        <row r="1691">
          <cell r="L1691" t="str">
            <v>WA2502ST06WH</v>
          </cell>
          <cell r="BW1691">
            <v>118</v>
          </cell>
        </row>
        <row r="1692">
          <cell r="L1692" t="str">
            <v>WA2502ST07GR</v>
          </cell>
          <cell r="BW1692">
            <v>39</v>
          </cell>
        </row>
        <row r="1693">
          <cell r="L1693" t="str">
            <v>WA2502ST07GR</v>
          </cell>
          <cell r="BW1693">
            <v>36</v>
          </cell>
        </row>
        <row r="1694">
          <cell r="L1694" t="str">
            <v>WA2502ST07GR</v>
          </cell>
          <cell r="BW1694">
            <v>52</v>
          </cell>
        </row>
        <row r="1695">
          <cell r="L1695" t="str">
            <v>WA2502ST07GR</v>
          </cell>
          <cell r="BW1695">
            <v>50</v>
          </cell>
        </row>
        <row r="1696">
          <cell r="L1696" t="str">
            <v>WA2502ST07WH</v>
          </cell>
          <cell r="BW1696">
            <v>129</v>
          </cell>
        </row>
        <row r="1697">
          <cell r="L1697" t="str">
            <v>WA2502ST07WH</v>
          </cell>
          <cell r="BW1697">
            <v>87</v>
          </cell>
        </row>
        <row r="1698">
          <cell r="L1698" t="str">
            <v>WA2502ST07WH</v>
          </cell>
          <cell r="BW1698">
            <v>45</v>
          </cell>
        </row>
        <row r="1699">
          <cell r="L1699" t="str">
            <v>WA2502ST07WH</v>
          </cell>
          <cell r="BW1699">
            <v>127</v>
          </cell>
        </row>
        <row r="1700">
          <cell r="L1700" t="str">
            <v>WA2502ST08BK</v>
          </cell>
          <cell r="BW1700">
            <v>64</v>
          </cell>
        </row>
        <row r="1701">
          <cell r="L1701" t="str">
            <v>WA2502ST08BK</v>
          </cell>
          <cell r="BW1701">
            <v>105</v>
          </cell>
        </row>
        <row r="1702">
          <cell r="L1702" t="str">
            <v>WA2502ST08BK</v>
          </cell>
          <cell r="BW1702">
            <v>229</v>
          </cell>
        </row>
        <row r="1703">
          <cell r="L1703" t="str">
            <v>WA2502ST08BK</v>
          </cell>
          <cell r="BW1703">
            <v>22</v>
          </cell>
        </row>
        <row r="1704">
          <cell r="L1704" t="str">
            <v>WA2502ST08GN</v>
          </cell>
          <cell r="BW1704">
            <v>10</v>
          </cell>
        </row>
        <row r="1705">
          <cell r="L1705" t="str">
            <v>WA2502ST08GN</v>
          </cell>
          <cell r="BW1705">
            <v>16</v>
          </cell>
        </row>
        <row r="1706">
          <cell r="L1706" t="str">
            <v>WA2502ST08GN</v>
          </cell>
          <cell r="BW1706">
            <v>55</v>
          </cell>
        </row>
        <row r="1707">
          <cell r="L1707" t="str">
            <v>WA2502ST08GN</v>
          </cell>
          <cell r="BW1707">
            <v>15</v>
          </cell>
        </row>
        <row r="1708">
          <cell r="L1708" t="str">
            <v>WA2502ST08WH</v>
          </cell>
          <cell r="BW1708">
            <v>116</v>
          </cell>
        </row>
        <row r="1709">
          <cell r="L1709" t="str">
            <v>WA2502ST08WH</v>
          </cell>
          <cell r="BW1709">
            <v>153</v>
          </cell>
        </row>
        <row r="1710">
          <cell r="L1710" t="str">
            <v>WA2502ST08WH</v>
          </cell>
          <cell r="BW1710">
            <v>219</v>
          </cell>
        </row>
        <row r="1711">
          <cell r="L1711" t="str">
            <v>WA2502ST08WH</v>
          </cell>
          <cell r="BW1711">
            <v>91</v>
          </cell>
        </row>
        <row r="1712">
          <cell r="L1712" t="str">
            <v>WA2502ST09BK</v>
          </cell>
          <cell r="BW1712">
            <v>27</v>
          </cell>
        </row>
        <row r="1713">
          <cell r="L1713" t="str">
            <v>WA2502ST09BK</v>
          </cell>
          <cell r="BW1713">
            <v>32</v>
          </cell>
        </row>
        <row r="1714">
          <cell r="L1714" t="str">
            <v>WA2502ST09BK</v>
          </cell>
          <cell r="BW1714">
            <v>105</v>
          </cell>
        </row>
        <row r="1715">
          <cell r="L1715" t="str">
            <v>WA2502ST09BK</v>
          </cell>
          <cell r="BW1715">
            <v>27</v>
          </cell>
        </row>
        <row r="1716">
          <cell r="L1716" t="str">
            <v>WA2502ST09BK</v>
          </cell>
          <cell r="BW1716">
            <v>52</v>
          </cell>
        </row>
        <row r="1717">
          <cell r="L1717" t="str">
            <v>WA2502ST09BK</v>
          </cell>
          <cell r="BW1717">
            <v>16</v>
          </cell>
        </row>
        <row r="1718">
          <cell r="L1718" t="str">
            <v>WA2502ST09WH</v>
          </cell>
          <cell r="BW1718">
            <v>39</v>
          </cell>
        </row>
        <row r="1719">
          <cell r="L1719" t="str">
            <v>WA2502ST09WH</v>
          </cell>
          <cell r="BW1719">
            <v>46</v>
          </cell>
        </row>
        <row r="1720">
          <cell r="L1720" t="str">
            <v>WA2502ST09WH</v>
          </cell>
          <cell r="BW1720">
            <v>133</v>
          </cell>
        </row>
        <row r="1721">
          <cell r="L1721" t="str">
            <v>WA2502ST09WH</v>
          </cell>
          <cell r="BW1721">
            <v>57</v>
          </cell>
        </row>
        <row r="1722">
          <cell r="L1722" t="str">
            <v>WA2502ST09WH</v>
          </cell>
          <cell r="BW1722">
            <v>63</v>
          </cell>
        </row>
        <row r="1723">
          <cell r="L1723" t="str">
            <v>WA2502ST09WH</v>
          </cell>
          <cell r="BW1723">
            <v>51</v>
          </cell>
        </row>
        <row r="1724">
          <cell r="L1724" t="str">
            <v>WA2502ST09YE</v>
          </cell>
          <cell r="BW1724">
            <v>70</v>
          </cell>
        </row>
        <row r="1725">
          <cell r="L1725" t="str">
            <v>WA2502ST09YE</v>
          </cell>
          <cell r="BW1725">
            <v>61</v>
          </cell>
        </row>
        <row r="1726">
          <cell r="L1726" t="str">
            <v>WA2502ST09YE</v>
          </cell>
          <cell r="BW1726">
            <v>32</v>
          </cell>
        </row>
        <row r="1727">
          <cell r="L1727" t="str">
            <v>WA2502ST09YE</v>
          </cell>
          <cell r="BW1727">
            <v>29</v>
          </cell>
        </row>
        <row r="1728">
          <cell r="L1728" t="str">
            <v>WA2502ST09YE</v>
          </cell>
          <cell r="BW1728">
            <v>27</v>
          </cell>
        </row>
        <row r="1729">
          <cell r="L1729" t="str">
            <v>WA2502ST10BK</v>
          </cell>
          <cell r="BW1729">
            <v>147</v>
          </cell>
        </row>
        <row r="1730">
          <cell r="L1730" t="str">
            <v>WA2502ST10BK</v>
          </cell>
          <cell r="BW1730">
            <v>210</v>
          </cell>
        </row>
        <row r="1731">
          <cell r="L1731" t="str">
            <v>WA2502ST10BK</v>
          </cell>
          <cell r="BW1731">
            <v>267</v>
          </cell>
        </row>
        <row r="1732">
          <cell r="L1732" t="str">
            <v>WA2502ST10BK</v>
          </cell>
          <cell r="BW1732">
            <v>132</v>
          </cell>
        </row>
        <row r="1733">
          <cell r="L1733" t="str">
            <v>WA2502ST10BK</v>
          </cell>
          <cell r="BW1733">
            <v>134</v>
          </cell>
        </row>
        <row r="1734">
          <cell r="L1734" t="str">
            <v>WA2502ST10BK</v>
          </cell>
          <cell r="BW1734">
            <v>56</v>
          </cell>
        </row>
        <row r="1735">
          <cell r="L1735" t="str">
            <v>WA2502ST10BL</v>
          </cell>
          <cell r="BW1735">
            <v>47</v>
          </cell>
        </row>
        <row r="1736">
          <cell r="L1736" t="str">
            <v>WA2502ST10BL</v>
          </cell>
          <cell r="BW1736">
            <v>74</v>
          </cell>
        </row>
        <row r="1737">
          <cell r="L1737" t="str">
            <v>WA2502ST10BL</v>
          </cell>
          <cell r="BW1737">
            <v>71</v>
          </cell>
        </row>
        <row r="1738">
          <cell r="L1738" t="str">
            <v>WA2502ST10BL</v>
          </cell>
          <cell r="BW1738">
            <v>59</v>
          </cell>
        </row>
        <row r="1739">
          <cell r="L1739" t="str">
            <v>WA2502ST10BL</v>
          </cell>
          <cell r="BW1739">
            <v>82</v>
          </cell>
        </row>
        <row r="1740">
          <cell r="L1740" t="str">
            <v>WA2502ST10LG</v>
          </cell>
          <cell r="BW1740">
            <v>61</v>
          </cell>
        </row>
        <row r="1741">
          <cell r="L1741" t="str">
            <v>WA2502ST10LG</v>
          </cell>
          <cell r="BW1741">
            <v>85</v>
          </cell>
        </row>
        <row r="1742">
          <cell r="L1742" t="str">
            <v>WA2502ST10LG</v>
          </cell>
          <cell r="BW1742">
            <v>161</v>
          </cell>
        </row>
        <row r="1743">
          <cell r="L1743" t="str">
            <v>WA2502ST10LG</v>
          </cell>
          <cell r="BW1743">
            <v>94</v>
          </cell>
        </row>
        <row r="1744">
          <cell r="L1744" t="str">
            <v>WA2502ST10LG</v>
          </cell>
          <cell r="BW1744">
            <v>60</v>
          </cell>
        </row>
        <row r="1745">
          <cell r="L1745" t="str">
            <v>WA2502ST10LG</v>
          </cell>
          <cell r="BW1745">
            <v>68</v>
          </cell>
        </row>
        <row r="1746">
          <cell r="L1746" t="str">
            <v>WA2502ST11CM</v>
          </cell>
          <cell r="BW1746">
            <v>205</v>
          </cell>
        </row>
        <row r="1747">
          <cell r="L1747" t="str">
            <v>WA2502ST11CM</v>
          </cell>
          <cell r="BW1747">
            <v>219</v>
          </cell>
        </row>
        <row r="1748">
          <cell r="L1748" t="str">
            <v>WA2502ST11CM</v>
          </cell>
          <cell r="BW1748">
            <v>202</v>
          </cell>
        </row>
        <row r="1749">
          <cell r="L1749" t="str">
            <v>WA2502ST11CM</v>
          </cell>
          <cell r="BW1749">
            <v>140</v>
          </cell>
        </row>
        <row r="1750">
          <cell r="L1750" t="str">
            <v>WA2502ST11GN</v>
          </cell>
          <cell r="BW1750">
            <v>64</v>
          </cell>
        </row>
        <row r="1751">
          <cell r="L1751" t="str">
            <v>WA2502ST11GN</v>
          </cell>
          <cell r="BW1751">
            <v>75</v>
          </cell>
        </row>
        <row r="1752">
          <cell r="L1752" t="str">
            <v>WA2502ST11GN</v>
          </cell>
          <cell r="BW1752">
            <v>68</v>
          </cell>
        </row>
        <row r="1753">
          <cell r="L1753" t="str">
            <v>WA2502ST11GN</v>
          </cell>
          <cell r="BW1753">
            <v>14</v>
          </cell>
        </row>
        <row r="1754">
          <cell r="L1754" t="str">
            <v>WA2502ST11LG</v>
          </cell>
          <cell r="BW1754">
            <v>447</v>
          </cell>
        </row>
        <row r="1755">
          <cell r="L1755" t="str">
            <v>WA2502ST11LG</v>
          </cell>
          <cell r="BW1755">
            <v>429</v>
          </cell>
        </row>
        <row r="1756">
          <cell r="L1756" t="str">
            <v>WA2502ST11LG</v>
          </cell>
          <cell r="BW1756">
            <v>314</v>
          </cell>
        </row>
        <row r="1757">
          <cell r="L1757" t="str">
            <v>WA2502ST11LG</v>
          </cell>
          <cell r="BW1757">
            <v>223</v>
          </cell>
        </row>
        <row r="1758">
          <cell r="L1758" t="str">
            <v>WA2502ST11NA</v>
          </cell>
          <cell r="BW1758">
            <v>251</v>
          </cell>
        </row>
        <row r="1759">
          <cell r="L1759" t="str">
            <v>WA2502ST11NA</v>
          </cell>
          <cell r="BW1759">
            <v>270</v>
          </cell>
        </row>
        <row r="1760">
          <cell r="L1760" t="str">
            <v>WA2502ST11NA</v>
          </cell>
          <cell r="BW1760">
            <v>255</v>
          </cell>
        </row>
        <row r="1761">
          <cell r="L1761" t="str">
            <v>WA2502ST11NA</v>
          </cell>
          <cell r="BW1761">
            <v>89</v>
          </cell>
        </row>
        <row r="1762">
          <cell r="L1762" t="str">
            <v>WA2502ST12BK</v>
          </cell>
          <cell r="BW1762">
            <v>50</v>
          </cell>
        </row>
        <row r="1763">
          <cell r="L1763" t="str">
            <v>WA2502ST12BK</v>
          </cell>
          <cell r="BW1763">
            <v>59</v>
          </cell>
        </row>
        <row r="1764">
          <cell r="L1764" t="str">
            <v>WA2502ST12BK</v>
          </cell>
          <cell r="BW1764">
            <v>26</v>
          </cell>
        </row>
        <row r="1765">
          <cell r="L1765" t="str">
            <v>WA2502ST12BK</v>
          </cell>
          <cell r="BW1765">
            <v>20</v>
          </cell>
        </row>
        <row r="1766">
          <cell r="L1766" t="str">
            <v>WA2502ST12GR</v>
          </cell>
          <cell r="BW1766">
            <v>116</v>
          </cell>
        </row>
        <row r="1767">
          <cell r="L1767" t="str">
            <v>WA2502ST12GR</v>
          </cell>
          <cell r="BW1767">
            <v>156</v>
          </cell>
        </row>
        <row r="1768">
          <cell r="L1768" t="str">
            <v>WA2502ST12GR</v>
          </cell>
          <cell r="BW1768">
            <v>148</v>
          </cell>
        </row>
        <row r="1769">
          <cell r="L1769" t="str">
            <v>WA2502ST12GR</v>
          </cell>
          <cell r="BW1769">
            <v>99</v>
          </cell>
        </row>
        <row r="1770">
          <cell r="L1770" t="str">
            <v>WA2502ST13CH</v>
          </cell>
          <cell r="BW1770">
            <v>55</v>
          </cell>
        </row>
        <row r="1771">
          <cell r="L1771" t="str">
            <v>WA2502ST13CH</v>
          </cell>
          <cell r="BW1771">
            <v>133</v>
          </cell>
        </row>
        <row r="1772">
          <cell r="L1772" t="str">
            <v>WA2502ST13CH</v>
          </cell>
          <cell r="BW1772">
            <v>249</v>
          </cell>
        </row>
        <row r="1773">
          <cell r="L1773" t="str">
            <v>WA2502ST13CH</v>
          </cell>
          <cell r="BW1773">
            <v>22</v>
          </cell>
        </row>
        <row r="1774">
          <cell r="L1774" t="str">
            <v>WA2502ST13PI</v>
          </cell>
          <cell r="BW1774">
            <v>132</v>
          </cell>
        </row>
        <row r="1775">
          <cell r="L1775" t="str">
            <v>WA2502ST13PI</v>
          </cell>
          <cell r="BW1775">
            <v>151</v>
          </cell>
        </row>
        <row r="1776">
          <cell r="L1776" t="str">
            <v>WA2502ST13PI</v>
          </cell>
          <cell r="BW1776">
            <v>141</v>
          </cell>
        </row>
        <row r="1777">
          <cell r="L1777" t="str">
            <v>WA2502ST13PI</v>
          </cell>
          <cell r="BW1777">
            <v>77</v>
          </cell>
        </row>
        <row r="1778">
          <cell r="L1778" t="str">
            <v>WA2502ST14BL</v>
          </cell>
          <cell r="BW1778">
            <v>180</v>
          </cell>
        </row>
        <row r="1779">
          <cell r="L1779" t="str">
            <v>WA2502ST14BL</v>
          </cell>
          <cell r="BW1779">
            <v>216</v>
          </cell>
        </row>
        <row r="1780">
          <cell r="L1780" t="str">
            <v>WA2502ST14BL</v>
          </cell>
          <cell r="BW1780">
            <v>180</v>
          </cell>
        </row>
        <row r="1781">
          <cell r="L1781" t="str">
            <v>WA2502ST14BL</v>
          </cell>
          <cell r="BW1781">
            <v>82</v>
          </cell>
        </row>
        <row r="1782">
          <cell r="L1782" t="str">
            <v>WA2502ST14WH</v>
          </cell>
          <cell r="BW1782">
            <v>153</v>
          </cell>
        </row>
        <row r="1783">
          <cell r="L1783" t="str">
            <v>WA2502ST14WH</v>
          </cell>
          <cell r="BW1783">
            <v>196</v>
          </cell>
        </row>
        <row r="1784">
          <cell r="L1784" t="str">
            <v>WA2502ST14WH</v>
          </cell>
          <cell r="BW1784">
            <v>196</v>
          </cell>
        </row>
        <row r="1785">
          <cell r="L1785" t="str">
            <v>WA2502ST14WH</v>
          </cell>
          <cell r="BW1785">
            <v>107</v>
          </cell>
        </row>
        <row r="1786">
          <cell r="L1786" t="str">
            <v>WA2502ST15BL</v>
          </cell>
          <cell r="BW1786">
            <v>132</v>
          </cell>
        </row>
        <row r="1787">
          <cell r="L1787" t="str">
            <v>WA2502ST15BL</v>
          </cell>
          <cell r="BW1787">
            <v>203</v>
          </cell>
        </row>
        <row r="1788">
          <cell r="L1788" t="str">
            <v>WA2502ST15BL</v>
          </cell>
          <cell r="BW1788">
            <v>204</v>
          </cell>
        </row>
        <row r="1789">
          <cell r="L1789" t="str">
            <v>WA2502ST15BL</v>
          </cell>
          <cell r="BW1789">
            <v>80</v>
          </cell>
        </row>
        <row r="1790">
          <cell r="L1790" t="str">
            <v>WA2502ST15CH</v>
          </cell>
          <cell r="BW1790">
            <v>258</v>
          </cell>
        </row>
        <row r="1791">
          <cell r="L1791" t="str">
            <v>WA2502ST15CH</v>
          </cell>
          <cell r="BW1791">
            <v>267</v>
          </cell>
        </row>
        <row r="1792">
          <cell r="L1792" t="str">
            <v>WA2502ST15CH</v>
          </cell>
          <cell r="BW1792">
            <v>336</v>
          </cell>
        </row>
        <row r="1793">
          <cell r="L1793" t="str">
            <v>WA2502ST15CH</v>
          </cell>
          <cell r="BW1793">
            <v>164</v>
          </cell>
        </row>
        <row r="1794">
          <cell r="L1794" t="str">
            <v>WA2502ST15PI</v>
          </cell>
          <cell r="BW1794">
            <v>149</v>
          </cell>
        </row>
        <row r="1795">
          <cell r="L1795" t="str">
            <v>WA2502ST15PI</v>
          </cell>
          <cell r="BW1795">
            <v>211</v>
          </cell>
        </row>
        <row r="1796">
          <cell r="L1796" t="str">
            <v>WA2502ST15PI</v>
          </cell>
          <cell r="BW1796">
            <v>217</v>
          </cell>
        </row>
        <row r="1797">
          <cell r="L1797" t="str">
            <v>WA2502ST15PI</v>
          </cell>
          <cell r="BW1797">
            <v>103</v>
          </cell>
        </row>
        <row r="1798">
          <cell r="L1798" t="str">
            <v>WA2502ST16CM</v>
          </cell>
          <cell r="BW1798">
            <v>39</v>
          </cell>
        </row>
        <row r="1799">
          <cell r="L1799" t="str">
            <v>WA2502ST16CM</v>
          </cell>
          <cell r="BW1799">
            <v>19</v>
          </cell>
        </row>
        <row r="1800">
          <cell r="L1800" t="str">
            <v>WA2502ST16CM</v>
          </cell>
          <cell r="BW1800">
            <v>18</v>
          </cell>
        </row>
        <row r="1801">
          <cell r="L1801" t="str">
            <v>WA2502ST16CM</v>
          </cell>
          <cell r="BW1801">
            <v>29</v>
          </cell>
        </row>
        <row r="1802">
          <cell r="L1802" t="str">
            <v>WA2502ST17WH</v>
          </cell>
          <cell r="BW1802">
            <v>221</v>
          </cell>
        </row>
        <row r="1803">
          <cell r="L1803" t="str">
            <v>WA2502ST17WH</v>
          </cell>
          <cell r="BW1803">
            <v>276</v>
          </cell>
        </row>
        <row r="1804">
          <cell r="L1804" t="str">
            <v>WA2502ST17WH</v>
          </cell>
          <cell r="BW1804">
            <v>188</v>
          </cell>
        </row>
        <row r="1805">
          <cell r="L1805" t="str">
            <v>WA2502ST17WH</v>
          </cell>
          <cell r="BW1805">
            <v>153</v>
          </cell>
        </row>
        <row r="1806">
          <cell r="L1806" t="str">
            <v>WA2502ST18CM</v>
          </cell>
          <cell r="BW1806">
            <v>186</v>
          </cell>
        </row>
        <row r="1807">
          <cell r="L1807" t="str">
            <v>WA2502ST18CM</v>
          </cell>
          <cell r="BW1807">
            <v>178</v>
          </cell>
        </row>
        <row r="1808">
          <cell r="L1808" t="str">
            <v>WA2502ST18CM</v>
          </cell>
          <cell r="BW1808">
            <v>170</v>
          </cell>
        </row>
        <row r="1809">
          <cell r="L1809" t="str">
            <v>WA2502ST18CM</v>
          </cell>
          <cell r="BW1809">
            <v>125</v>
          </cell>
        </row>
        <row r="1810">
          <cell r="L1810" t="str">
            <v>WA2502ST19LG</v>
          </cell>
          <cell r="BW1810">
            <v>191</v>
          </cell>
        </row>
        <row r="1811">
          <cell r="L1811" t="str">
            <v>WA2502ST19LG</v>
          </cell>
          <cell r="BW1811">
            <v>194</v>
          </cell>
        </row>
        <row r="1812">
          <cell r="L1812" t="str">
            <v>WA2502ST19LG</v>
          </cell>
          <cell r="BW1812">
            <v>165</v>
          </cell>
        </row>
        <row r="1813">
          <cell r="L1813" t="str">
            <v>WA2502ST19LG</v>
          </cell>
          <cell r="BW1813">
            <v>183</v>
          </cell>
        </row>
        <row r="1814">
          <cell r="L1814" t="str">
            <v>WA2502ST19NA</v>
          </cell>
          <cell r="BW1814">
            <v>126</v>
          </cell>
        </row>
        <row r="1815">
          <cell r="L1815" t="str">
            <v>WA2502ST19NA</v>
          </cell>
          <cell r="BW1815">
            <v>156</v>
          </cell>
        </row>
        <row r="1816">
          <cell r="L1816" t="str">
            <v>WA2502ST19NA</v>
          </cell>
          <cell r="BW1816">
            <v>150</v>
          </cell>
        </row>
        <row r="1817">
          <cell r="L1817" t="str">
            <v>WA2502ST19NA</v>
          </cell>
          <cell r="BW1817">
            <v>104</v>
          </cell>
        </row>
        <row r="1818">
          <cell r="L1818" t="str">
            <v>WA2502ST19WH</v>
          </cell>
          <cell r="BW1818">
            <v>403</v>
          </cell>
        </row>
        <row r="1819">
          <cell r="L1819" t="str">
            <v>WA2502ST19WH</v>
          </cell>
          <cell r="BW1819">
            <v>395</v>
          </cell>
        </row>
        <row r="1820">
          <cell r="L1820" t="str">
            <v>WA2502ST19WH</v>
          </cell>
          <cell r="BW1820">
            <v>388</v>
          </cell>
        </row>
        <row r="1821">
          <cell r="L1821" t="str">
            <v>WA2502ST19WH</v>
          </cell>
          <cell r="BW1821">
            <v>327</v>
          </cell>
        </row>
        <row r="1822">
          <cell r="L1822" t="str">
            <v>WA2502ST20BK</v>
          </cell>
          <cell r="BW1822">
            <v>2</v>
          </cell>
        </row>
        <row r="1823">
          <cell r="L1823" t="str">
            <v>WA2502ST20BK</v>
          </cell>
          <cell r="BW1823">
            <v>7</v>
          </cell>
        </row>
        <row r="1824">
          <cell r="L1824" t="str">
            <v>WA2502ST20BK</v>
          </cell>
          <cell r="BW1824">
            <v>54</v>
          </cell>
        </row>
        <row r="1825">
          <cell r="L1825" t="str">
            <v>WA2502ST20BK</v>
          </cell>
          <cell r="BW1825">
            <v>7</v>
          </cell>
        </row>
        <row r="1826">
          <cell r="L1826" t="str">
            <v>WA2502ST20WH</v>
          </cell>
          <cell r="BW1826">
            <v>13</v>
          </cell>
        </row>
        <row r="1827">
          <cell r="L1827" t="str">
            <v>WA2502ST20WH</v>
          </cell>
          <cell r="BW1827">
            <v>21</v>
          </cell>
        </row>
        <row r="1828">
          <cell r="L1828" t="str">
            <v>WA2502ST20WH</v>
          </cell>
          <cell r="BW1828">
            <v>16</v>
          </cell>
        </row>
        <row r="1829">
          <cell r="L1829" t="str">
            <v>WA2502ST20WH</v>
          </cell>
          <cell r="BW1829">
            <v>15</v>
          </cell>
        </row>
        <row r="1830">
          <cell r="L1830" t="str">
            <v>WA2502ST21BK</v>
          </cell>
          <cell r="BW1830">
            <v>138</v>
          </cell>
        </row>
        <row r="1831">
          <cell r="L1831" t="str">
            <v>WA2502ST21BK</v>
          </cell>
          <cell r="BW1831">
            <v>183</v>
          </cell>
        </row>
        <row r="1832">
          <cell r="L1832" t="str">
            <v>WA2502ST21BK</v>
          </cell>
          <cell r="BW1832">
            <v>225</v>
          </cell>
        </row>
        <row r="1833">
          <cell r="L1833" t="str">
            <v>WA2502ST21BK</v>
          </cell>
          <cell r="BW1833">
            <v>94</v>
          </cell>
        </row>
        <row r="1834">
          <cell r="L1834" t="str">
            <v>WA2502ST21BR</v>
          </cell>
          <cell r="BW1834">
            <v>18</v>
          </cell>
        </row>
        <row r="1835">
          <cell r="L1835" t="str">
            <v>WA2502ST21BR</v>
          </cell>
          <cell r="BW1835">
            <v>13</v>
          </cell>
        </row>
        <row r="1836">
          <cell r="L1836" t="str">
            <v>WA2502ST21BR</v>
          </cell>
          <cell r="BW1836">
            <v>20</v>
          </cell>
        </row>
        <row r="1837">
          <cell r="L1837" t="str">
            <v>WA2502ST21BR</v>
          </cell>
          <cell r="BW1837">
            <v>12</v>
          </cell>
        </row>
        <row r="1838">
          <cell r="L1838" t="str">
            <v>WA2502ST21WH</v>
          </cell>
          <cell r="BW1838">
            <v>197</v>
          </cell>
        </row>
        <row r="1839">
          <cell r="L1839" t="str">
            <v>WA2502ST21WH</v>
          </cell>
          <cell r="BW1839">
            <v>277</v>
          </cell>
        </row>
        <row r="1840">
          <cell r="L1840" t="str">
            <v>WA2502ST21WH</v>
          </cell>
          <cell r="BW1840">
            <v>298</v>
          </cell>
        </row>
        <row r="1841">
          <cell r="L1841" t="str">
            <v>WA2502ST21WH</v>
          </cell>
          <cell r="BW1841">
            <v>125</v>
          </cell>
        </row>
        <row r="1842">
          <cell r="L1842" t="str">
            <v>WA2502ST22CH</v>
          </cell>
          <cell r="BW1842">
            <v>18</v>
          </cell>
        </row>
        <row r="1843">
          <cell r="L1843" t="str">
            <v>WA2502ST22CH</v>
          </cell>
          <cell r="BW1843">
            <v>23</v>
          </cell>
        </row>
        <row r="1844">
          <cell r="L1844" t="str">
            <v>WA2502ST22CH</v>
          </cell>
          <cell r="BW1844">
            <v>17</v>
          </cell>
        </row>
        <row r="1845">
          <cell r="L1845" t="str">
            <v>WA2502ST22CH</v>
          </cell>
          <cell r="BW1845">
            <v>42</v>
          </cell>
        </row>
        <row r="1846">
          <cell r="L1846" t="str">
            <v>WA2502ST22CM</v>
          </cell>
          <cell r="BW1846">
            <v>95</v>
          </cell>
        </row>
        <row r="1847">
          <cell r="L1847" t="str">
            <v>WA2502ST22CM</v>
          </cell>
          <cell r="BW1847">
            <v>56</v>
          </cell>
        </row>
        <row r="1848">
          <cell r="L1848" t="str">
            <v>WA2502ST22CM</v>
          </cell>
          <cell r="BW1848">
            <v>54</v>
          </cell>
        </row>
        <row r="1849">
          <cell r="L1849" t="str">
            <v>WA2502ST22CM</v>
          </cell>
          <cell r="BW1849">
            <v>75</v>
          </cell>
        </row>
        <row r="1850">
          <cell r="L1850" t="str">
            <v>WA2502ST23BK</v>
          </cell>
          <cell r="BW1850">
            <v>11</v>
          </cell>
        </row>
        <row r="1851">
          <cell r="L1851" t="str">
            <v>WA2502ST23BK</v>
          </cell>
          <cell r="BW1851">
            <v>52</v>
          </cell>
        </row>
        <row r="1852">
          <cell r="L1852" t="str">
            <v>WA2502ST23BK</v>
          </cell>
          <cell r="BW1852">
            <v>136</v>
          </cell>
        </row>
        <row r="1853">
          <cell r="L1853" t="str">
            <v>WA2502ST23BK</v>
          </cell>
          <cell r="BW1853">
            <v>5</v>
          </cell>
        </row>
        <row r="1854">
          <cell r="L1854" t="str">
            <v>WA2502ST23WH</v>
          </cell>
          <cell r="BW1854">
            <v>18</v>
          </cell>
        </row>
        <row r="1855">
          <cell r="L1855" t="str">
            <v>WA2502ST23WH</v>
          </cell>
          <cell r="BW1855">
            <v>56</v>
          </cell>
        </row>
        <row r="1856">
          <cell r="L1856" t="str">
            <v>WA2502ST23WH</v>
          </cell>
          <cell r="BW1856">
            <v>48</v>
          </cell>
        </row>
        <row r="1857">
          <cell r="L1857" t="str">
            <v>WA2502ST23WH</v>
          </cell>
          <cell r="BW1857">
            <v>31</v>
          </cell>
        </row>
        <row r="1858">
          <cell r="L1858" t="str">
            <v>WA2502ST23YE</v>
          </cell>
          <cell r="BW1858">
            <v>20</v>
          </cell>
        </row>
        <row r="1859">
          <cell r="L1859" t="str">
            <v>WA2502ST23YE</v>
          </cell>
          <cell r="BW1859">
            <v>14</v>
          </cell>
        </row>
        <row r="1860">
          <cell r="L1860" t="str">
            <v>WA2502ST23YE</v>
          </cell>
          <cell r="BW1860">
            <v>12</v>
          </cell>
        </row>
        <row r="1861">
          <cell r="L1861" t="str">
            <v>WA2502ST23YE</v>
          </cell>
          <cell r="BW1861">
            <v>26</v>
          </cell>
        </row>
        <row r="1862">
          <cell r="L1862" t="str">
            <v>WA2502ST24BK</v>
          </cell>
          <cell r="BW1862">
            <v>55</v>
          </cell>
        </row>
        <row r="1863">
          <cell r="L1863" t="str">
            <v>WA2502ST24BK</v>
          </cell>
          <cell r="BW1863">
            <v>85</v>
          </cell>
        </row>
        <row r="1864">
          <cell r="L1864" t="str">
            <v>WA2502ST24BK</v>
          </cell>
          <cell r="BW1864">
            <v>87</v>
          </cell>
        </row>
        <row r="1865">
          <cell r="L1865" t="str">
            <v>WA2502ST24BK</v>
          </cell>
          <cell r="BW1865">
            <v>28</v>
          </cell>
        </row>
        <row r="1866">
          <cell r="L1866" t="str">
            <v>WA2502ST24WH</v>
          </cell>
          <cell r="BW1866">
            <v>83</v>
          </cell>
        </row>
        <row r="1867">
          <cell r="L1867" t="str">
            <v>WA2502ST24WH</v>
          </cell>
          <cell r="BW1867">
            <v>124</v>
          </cell>
        </row>
        <row r="1868">
          <cell r="L1868" t="str">
            <v>WA2502ST24WH</v>
          </cell>
          <cell r="BW1868">
            <v>83</v>
          </cell>
        </row>
        <row r="1869">
          <cell r="L1869" t="str">
            <v>WA2502ST24WH</v>
          </cell>
          <cell r="BW1869">
            <v>74</v>
          </cell>
        </row>
        <row r="1870">
          <cell r="L1870" t="str">
            <v>WA2502ST25BK</v>
          </cell>
          <cell r="BW1870">
            <v>7</v>
          </cell>
        </row>
        <row r="1871">
          <cell r="L1871" t="str">
            <v>WA2502ST25BK</v>
          </cell>
          <cell r="BW1871">
            <v>7</v>
          </cell>
        </row>
        <row r="1872">
          <cell r="L1872" t="str">
            <v>WA2502ST25BK</v>
          </cell>
          <cell r="BW1872">
            <v>67</v>
          </cell>
        </row>
        <row r="1873">
          <cell r="L1873" t="str">
            <v>WA2502ST25BK</v>
          </cell>
          <cell r="BW1873">
            <v>8</v>
          </cell>
        </row>
        <row r="1874">
          <cell r="L1874" t="str">
            <v>WA2502ST25WH</v>
          </cell>
          <cell r="BW1874">
            <v>23</v>
          </cell>
        </row>
        <row r="1875">
          <cell r="L1875" t="str">
            <v>WA2502ST25WH</v>
          </cell>
          <cell r="BW1875">
            <v>18</v>
          </cell>
        </row>
        <row r="1876">
          <cell r="L1876" t="str">
            <v>WA2502ST25WH</v>
          </cell>
          <cell r="BW1876">
            <v>27</v>
          </cell>
        </row>
        <row r="1877">
          <cell r="L1877" t="str">
            <v>WA2502ST25WH</v>
          </cell>
          <cell r="BW1877">
            <v>17</v>
          </cell>
        </row>
        <row r="1878">
          <cell r="L1878" t="str">
            <v>WA2502ST26LG</v>
          </cell>
          <cell r="BW1878">
            <v>131</v>
          </cell>
        </row>
        <row r="1879">
          <cell r="L1879" t="str">
            <v>WA2502ST26LG</v>
          </cell>
          <cell r="BW1879">
            <v>169</v>
          </cell>
        </row>
        <row r="1880">
          <cell r="L1880" t="str">
            <v>WA2502ST26LG</v>
          </cell>
          <cell r="BW1880">
            <v>297</v>
          </cell>
        </row>
        <row r="1881">
          <cell r="L1881" t="str">
            <v>WA2502ST26LG</v>
          </cell>
          <cell r="BW1881">
            <v>102</v>
          </cell>
        </row>
        <row r="1882">
          <cell r="L1882" t="str">
            <v>WA2502ST26WH</v>
          </cell>
          <cell r="BW1882">
            <v>53</v>
          </cell>
        </row>
        <row r="1883">
          <cell r="L1883" t="str">
            <v>WA2502ST26WH</v>
          </cell>
          <cell r="BW1883">
            <v>31</v>
          </cell>
        </row>
        <row r="1884">
          <cell r="L1884" t="str">
            <v>WA2502ST26WH</v>
          </cell>
          <cell r="BW1884">
            <v>18</v>
          </cell>
        </row>
        <row r="1885">
          <cell r="L1885" t="str">
            <v>WA2502ST26WH</v>
          </cell>
          <cell r="BW1885">
            <v>60</v>
          </cell>
        </row>
        <row r="1886">
          <cell r="L1886" t="str">
            <v>WA2502ST27CH</v>
          </cell>
          <cell r="BW1886">
            <v>62</v>
          </cell>
        </row>
        <row r="1887">
          <cell r="L1887" t="str">
            <v>WA2502ST27CH</v>
          </cell>
          <cell r="BW1887">
            <v>62</v>
          </cell>
        </row>
        <row r="1888">
          <cell r="L1888" t="str">
            <v>WA2502ST27CH</v>
          </cell>
          <cell r="BW1888">
            <v>108</v>
          </cell>
        </row>
        <row r="1889">
          <cell r="L1889" t="str">
            <v>WA2502ST27CH</v>
          </cell>
          <cell r="BW1889">
            <v>28</v>
          </cell>
        </row>
        <row r="1890">
          <cell r="L1890" t="str">
            <v>WA2502ST27CM</v>
          </cell>
          <cell r="BW1890">
            <v>116</v>
          </cell>
        </row>
        <row r="1891">
          <cell r="L1891" t="str">
            <v>WA2502ST27CM</v>
          </cell>
          <cell r="BW1891">
            <v>106</v>
          </cell>
        </row>
        <row r="1892">
          <cell r="L1892" t="str">
            <v>WA2502ST27CM</v>
          </cell>
          <cell r="BW1892">
            <v>103</v>
          </cell>
        </row>
        <row r="1893">
          <cell r="L1893" t="str">
            <v>WA2502ST27CM</v>
          </cell>
          <cell r="BW1893">
            <v>133</v>
          </cell>
        </row>
        <row r="1894">
          <cell r="L1894" t="str">
            <v>WA2502ST28CH</v>
          </cell>
          <cell r="BW1894">
            <v>7</v>
          </cell>
        </row>
        <row r="1895">
          <cell r="L1895" t="str">
            <v>WA2502ST28CH</v>
          </cell>
          <cell r="BW1895">
            <v>2</v>
          </cell>
        </row>
        <row r="1896">
          <cell r="L1896" t="str">
            <v>WA2502ST28CH</v>
          </cell>
          <cell r="BW1896">
            <v>0</v>
          </cell>
        </row>
        <row r="1897">
          <cell r="L1897" t="str">
            <v>WA2502ST28CH</v>
          </cell>
          <cell r="BW1897">
            <v>8</v>
          </cell>
        </row>
        <row r="1898">
          <cell r="L1898" t="str">
            <v>WA2502ST28CM</v>
          </cell>
          <cell r="BW1898">
            <v>28</v>
          </cell>
        </row>
        <row r="1899">
          <cell r="L1899" t="str">
            <v>WA2502ST28CM</v>
          </cell>
          <cell r="BW1899">
            <v>7</v>
          </cell>
        </row>
        <row r="1900">
          <cell r="L1900" t="str">
            <v>WA2502ST28CM</v>
          </cell>
          <cell r="BW1900">
            <v>1</v>
          </cell>
        </row>
        <row r="1901">
          <cell r="L1901" t="str">
            <v>WA2502ST28CM</v>
          </cell>
          <cell r="BW1901">
            <v>16</v>
          </cell>
        </row>
        <row r="1902">
          <cell r="L1902" t="str">
            <v>WA2502ST29BL</v>
          </cell>
          <cell r="BW1902">
            <v>13</v>
          </cell>
        </row>
        <row r="1903">
          <cell r="L1903" t="str">
            <v>WA2502ST29BL</v>
          </cell>
          <cell r="BW1903">
            <v>19</v>
          </cell>
        </row>
        <row r="1904">
          <cell r="L1904" t="str">
            <v>WA2502ST29BL</v>
          </cell>
          <cell r="BW1904">
            <v>4</v>
          </cell>
        </row>
        <row r="1905">
          <cell r="L1905" t="str">
            <v>WA2502ST29BL</v>
          </cell>
          <cell r="BW1905">
            <v>32</v>
          </cell>
        </row>
        <row r="1906">
          <cell r="L1906" t="str">
            <v>WA2502ST29CH</v>
          </cell>
          <cell r="BW1906">
            <v>20</v>
          </cell>
        </row>
        <row r="1907">
          <cell r="L1907" t="str">
            <v>WA2502ST29CH</v>
          </cell>
          <cell r="BW1907">
            <v>10</v>
          </cell>
        </row>
        <row r="1908">
          <cell r="L1908" t="str">
            <v>WA2502ST29CH</v>
          </cell>
          <cell r="BW1908">
            <v>21</v>
          </cell>
        </row>
        <row r="1909">
          <cell r="L1909" t="str">
            <v>WA2502ST29CH</v>
          </cell>
          <cell r="BW1909">
            <v>10</v>
          </cell>
        </row>
        <row r="1910">
          <cell r="L1910" t="str">
            <v>WA2502ST29WH</v>
          </cell>
          <cell r="BW1910">
            <v>42</v>
          </cell>
        </row>
        <row r="1911">
          <cell r="L1911" t="str">
            <v>WA2502ST29WH</v>
          </cell>
          <cell r="BW1911">
            <v>67</v>
          </cell>
        </row>
        <row r="1912">
          <cell r="L1912" t="str">
            <v>WA2502ST29WH</v>
          </cell>
          <cell r="BW1912">
            <v>67</v>
          </cell>
        </row>
        <row r="1913">
          <cell r="L1913" t="str">
            <v>WA2502ST29WH</v>
          </cell>
          <cell r="BW1913">
            <v>61</v>
          </cell>
        </row>
        <row r="1914">
          <cell r="L1914" t="str">
            <v>WA2502ST30LG</v>
          </cell>
          <cell r="BW1914">
            <v>47</v>
          </cell>
        </row>
        <row r="1915">
          <cell r="L1915" t="str">
            <v>WA2502ST30LG</v>
          </cell>
          <cell r="BW1915">
            <v>82</v>
          </cell>
        </row>
        <row r="1916">
          <cell r="L1916" t="str">
            <v>WA2502ST30LG</v>
          </cell>
          <cell r="BW1916">
            <v>77</v>
          </cell>
        </row>
        <row r="1917">
          <cell r="L1917" t="str">
            <v>WA2502ST30LG</v>
          </cell>
          <cell r="BW1917">
            <v>37</v>
          </cell>
        </row>
        <row r="1918">
          <cell r="L1918" t="str">
            <v>WA2502ST30WH</v>
          </cell>
          <cell r="BW1918">
            <v>61</v>
          </cell>
        </row>
        <row r="1919">
          <cell r="L1919" t="str">
            <v>WA2502ST30WH</v>
          </cell>
          <cell r="BW1919">
            <v>39</v>
          </cell>
        </row>
        <row r="1920">
          <cell r="L1920" t="str">
            <v>WA2502ST30WH</v>
          </cell>
          <cell r="BW1920">
            <v>29</v>
          </cell>
        </row>
        <row r="1921">
          <cell r="L1921" t="str">
            <v>WA2502ST30WH</v>
          </cell>
          <cell r="BW1921">
            <v>86</v>
          </cell>
        </row>
        <row r="1922">
          <cell r="L1922" t="str">
            <v>WA2502ST31BK</v>
          </cell>
          <cell r="BW1922">
            <v>261</v>
          </cell>
        </row>
        <row r="1923">
          <cell r="L1923" t="str">
            <v>WA2502ST31BK</v>
          </cell>
          <cell r="BW1923">
            <v>388</v>
          </cell>
        </row>
        <row r="1924">
          <cell r="L1924" t="str">
            <v>WA2502ST31BK</v>
          </cell>
          <cell r="BW1924">
            <v>417</v>
          </cell>
        </row>
        <row r="1925">
          <cell r="L1925" t="str">
            <v>WA2502ST31BK</v>
          </cell>
          <cell r="BW1925">
            <v>223</v>
          </cell>
        </row>
        <row r="1926">
          <cell r="L1926" t="str">
            <v>WA2502ST31BL</v>
          </cell>
          <cell r="BW1926">
            <v>54</v>
          </cell>
        </row>
        <row r="1927">
          <cell r="L1927" t="str">
            <v>WA2502ST31BL</v>
          </cell>
          <cell r="BW1927">
            <v>45</v>
          </cell>
        </row>
        <row r="1928">
          <cell r="L1928" t="str">
            <v>WA2502ST31BL</v>
          </cell>
          <cell r="BW1928">
            <v>65</v>
          </cell>
        </row>
        <row r="1929">
          <cell r="L1929" t="str">
            <v>WA2502ST31BL</v>
          </cell>
          <cell r="BW1929">
            <v>31</v>
          </cell>
        </row>
        <row r="1930">
          <cell r="L1930" t="str">
            <v>WA2502ST31WH</v>
          </cell>
          <cell r="BW1930">
            <v>268</v>
          </cell>
        </row>
        <row r="1931">
          <cell r="L1931" t="str">
            <v>WA2502ST31WH</v>
          </cell>
          <cell r="BW1931">
            <v>313</v>
          </cell>
        </row>
        <row r="1932">
          <cell r="L1932" t="str">
            <v>WA2502ST31WH</v>
          </cell>
          <cell r="BW1932">
            <v>378</v>
          </cell>
        </row>
        <row r="1933">
          <cell r="L1933" t="str">
            <v>WA2502ST31WH</v>
          </cell>
          <cell r="BW1933">
            <v>170</v>
          </cell>
        </row>
        <row r="1934">
          <cell r="L1934" t="str">
            <v>WA2502ST32BK</v>
          </cell>
          <cell r="BW1934">
            <v>27</v>
          </cell>
        </row>
        <row r="1935">
          <cell r="L1935" t="str">
            <v>WA2502ST32BK</v>
          </cell>
          <cell r="BW1935">
            <v>39</v>
          </cell>
        </row>
        <row r="1936">
          <cell r="L1936" t="str">
            <v>WA2502ST32BK</v>
          </cell>
          <cell r="BW1936">
            <v>16</v>
          </cell>
        </row>
        <row r="1937">
          <cell r="L1937" t="str">
            <v>WA2502ST32BK</v>
          </cell>
          <cell r="BW1937">
            <v>25</v>
          </cell>
        </row>
        <row r="1938">
          <cell r="L1938" t="str">
            <v>WA2502ST32GN</v>
          </cell>
          <cell r="BW1938">
            <v>39</v>
          </cell>
        </row>
        <row r="1939">
          <cell r="L1939" t="str">
            <v>WA2502ST32GN</v>
          </cell>
          <cell r="BW1939">
            <v>72</v>
          </cell>
        </row>
        <row r="1940">
          <cell r="L1940" t="str">
            <v>WA2502ST32GN</v>
          </cell>
          <cell r="BW1940">
            <v>84</v>
          </cell>
        </row>
        <row r="1941">
          <cell r="L1941" t="str">
            <v>WA2502ST32GN</v>
          </cell>
          <cell r="BW1941">
            <v>35</v>
          </cell>
        </row>
        <row r="1942">
          <cell r="L1942" t="str">
            <v>WA2502ST32WH</v>
          </cell>
          <cell r="BW1942">
            <v>97</v>
          </cell>
        </row>
        <row r="1943">
          <cell r="L1943" t="str">
            <v>WA2502ST32WH</v>
          </cell>
          <cell r="BW1943">
            <v>73</v>
          </cell>
        </row>
        <row r="1944">
          <cell r="L1944" t="str">
            <v>WA2502ST32WH</v>
          </cell>
          <cell r="BW1944">
            <v>64</v>
          </cell>
        </row>
        <row r="1945">
          <cell r="L1945" t="str">
            <v>WA2502ST32WH</v>
          </cell>
          <cell r="BW1945">
            <v>76</v>
          </cell>
        </row>
        <row r="1946">
          <cell r="L1946" t="str">
            <v>WA2502ST33BK</v>
          </cell>
          <cell r="BW1946">
            <v>21</v>
          </cell>
        </row>
        <row r="1947">
          <cell r="L1947" t="str">
            <v>WA2502ST33BK</v>
          </cell>
          <cell r="BW1947">
            <v>31</v>
          </cell>
        </row>
        <row r="1948">
          <cell r="L1948" t="str">
            <v>WA2502ST33BK</v>
          </cell>
          <cell r="BW1948">
            <v>32</v>
          </cell>
        </row>
        <row r="1949">
          <cell r="L1949" t="str">
            <v>WA2502ST33BK</v>
          </cell>
          <cell r="BW1949">
            <v>15</v>
          </cell>
        </row>
        <row r="1950">
          <cell r="L1950" t="str">
            <v>WA2502ST33CM</v>
          </cell>
          <cell r="BW1950">
            <v>73</v>
          </cell>
        </row>
        <row r="1951">
          <cell r="L1951" t="str">
            <v>WA2502ST33CM</v>
          </cell>
          <cell r="BW1951">
            <v>59</v>
          </cell>
        </row>
        <row r="1952">
          <cell r="L1952" t="str">
            <v>WA2502ST33CM</v>
          </cell>
          <cell r="BW1952">
            <v>36</v>
          </cell>
        </row>
        <row r="1953">
          <cell r="L1953" t="str">
            <v>WA2502ST33CM</v>
          </cell>
          <cell r="BW1953">
            <v>64</v>
          </cell>
        </row>
        <row r="1954">
          <cell r="L1954" t="str">
            <v>WA2502ST34BK</v>
          </cell>
          <cell r="BW1954">
            <v>57</v>
          </cell>
        </row>
        <row r="1955">
          <cell r="L1955" t="str">
            <v>WA2502ST34BK</v>
          </cell>
          <cell r="BW1955">
            <v>59</v>
          </cell>
        </row>
        <row r="1956">
          <cell r="L1956" t="str">
            <v>WA2502ST34BK</v>
          </cell>
          <cell r="BW1956">
            <v>131</v>
          </cell>
        </row>
        <row r="1957">
          <cell r="L1957" t="str">
            <v>WA2502ST34BK</v>
          </cell>
          <cell r="BW1957">
            <v>33</v>
          </cell>
        </row>
        <row r="1958">
          <cell r="L1958" t="str">
            <v>WA2502ST34GN</v>
          </cell>
          <cell r="BW1958">
            <v>58</v>
          </cell>
        </row>
        <row r="1959">
          <cell r="L1959" t="str">
            <v>WA2502ST34GN</v>
          </cell>
          <cell r="BW1959">
            <v>73</v>
          </cell>
        </row>
        <row r="1960">
          <cell r="L1960" t="str">
            <v>WA2502ST34GN</v>
          </cell>
          <cell r="BW1960">
            <v>98</v>
          </cell>
        </row>
        <row r="1961">
          <cell r="L1961" t="str">
            <v>WA2502ST34GN</v>
          </cell>
          <cell r="BW1961">
            <v>31</v>
          </cell>
        </row>
        <row r="1962">
          <cell r="L1962" t="str">
            <v>WA2502ST34LG</v>
          </cell>
          <cell r="BW1962">
            <v>43</v>
          </cell>
        </row>
        <row r="1963">
          <cell r="L1963" t="str">
            <v>WA2502ST34LG</v>
          </cell>
          <cell r="BW1963">
            <v>42</v>
          </cell>
        </row>
        <row r="1964">
          <cell r="L1964" t="str">
            <v>WA2502ST34LG</v>
          </cell>
          <cell r="BW1964">
            <v>39</v>
          </cell>
        </row>
        <row r="1965">
          <cell r="L1965" t="str">
            <v>WA2502ST34LG</v>
          </cell>
          <cell r="BW1965">
            <v>32</v>
          </cell>
        </row>
        <row r="1966">
          <cell r="L1966" t="str">
            <v>WA2502ST34WH</v>
          </cell>
          <cell r="BW1966">
            <v>23</v>
          </cell>
        </row>
        <row r="1967">
          <cell r="L1967" t="str">
            <v>WA2502ST34WH</v>
          </cell>
          <cell r="BW1967">
            <v>12</v>
          </cell>
        </row>
        <row r="1968">
          <cell r="L1968" t="str">
            <v>WA2502ST34WH</v>
          </cell>
          <cell r="BW1968">
            <v>8</v>
          </cell>
        </row>
        <row r="1969">
          <cell r="L1969" t="str">
            <v>WA2502ST34WH</v>
          </cell>
          <cell r="BW1969">
            <v>18</v>
          </cell>
        </row>
        <row r="1970">
          <cell r="L1970" t="str">
            <v>WA2502ST35BL</v>
          </cell>
          <cell r="BW1970">
            <v>48</v>
          </cell>
        </row>
        <row r="1971">
          <cell r="L1971" t="str">
            <v>WA2502ST35BL</v>
          </cell>
          <cell r="BW1971">
            <v>49</v>
          </cell>
        </row>
        <row r="1972">
          <cell r="L1972" t="str">
            <v>WA2502ST35BL</v>
          </cell>
          <cell r="BW1972">
            <v>51</v>
          </cell>
        </row>
        <row r="1973">
          <cell r="L1973" t="str">
            <v>WA2502ST35BL</v>
          </cell>
          <cell r="BW1973">
            <v>27</v>
          </cell>
        </row>
        <row r="1974">
          <cell r="L1974" t="str">
            <v>WA2502ST35CH</v>
          </cell>
          <cell r="BW1974">
            <v>24</v>
          </cell>
        </row>
        <row r="1975">
          <cell r="L1975" t="str">
            <v>WA2502ST35CH</v>
          </cell>
          <cell r="BW1975">
            <v>15</v>
          </cell>
        </row>
        <row r="1976">
          <cell r="L1976" t="str">
            <v>WA2502ST35CH</v>
          </cell>
          <cell r="BW1976">
            <v>34</v>
          </cell>
        </row>
        <row r="1977">
          <cell r="L1977" t="str">
            <v>WA2502ST35CH</v>
          </cell>
          <cell r="BW1977">
            <v>13</v>
          </cell>
        </row>
        <row r="1978">
          <cell r="L1978" t="str">
            <v>WA2502ST36CH</v>
          </cell>
          <cell r="BW1978">
            <v>145</v>
          </cell>
        </row>
        <row r="1979">
          <cell r="L1979" t="str">
            <v>WA2502ST36CH</v>
          </cell>
          <cell r="BW1979">
            <v>134</v>
          </cell>
        </row>
        <row r="1980">
          <cell r="L1980" t="str">
            <v>WA2502ST36CH</v>
          </cell>
          <cell r="BW1980">
            <v>111</v>
          </cell>
        </row>
        <row r="1981">
          <cell r="L1981" t="str">
            <v>WA2502ST36CH</v>
          </cell>
          <cell r="BW1981">
            <v>94</v>
          </cell>
        </row>
        <row r="1982">
          <cell r="L1982" t="str">
            <v>WA2502ST36WH</v>
          </cell>
          <cell r="BW1982">
            <v>132</v>
          </cell>
        </row>
        <row r="1983">
          <cell r="L1983" t="str">
            <v>WA2502ST36WH</v>
          </cell>
          <cell r="BW1983">
            <v>153</v>
          </cell>
        </row>
        <row r="1984">
          <cell r="L1984" t="str">
            <v>WA2502ST36WH</v>
          </cell>
          <cell r="BW1984">
            <v>125</v>
          </cell>
        </row>
        <row r="1985">
          <cell r="L1985" t="str">
            <v>WA2502ST36WH</v>
          </cell>
          <cell r="BW1985">
            <v>122</v>
          </cell>
        </row>
        <row r="1986">
          <cell r="L1986" t="str">
            <v>WA2502ST40BK</v>
          </cell>
          <cell r="BW1986">
            <v>538</v>
          </cell>
        </row>
        <row r="1987">
          <cell r="L1987" t="str">
            <v>WA2502ST40BK</v>
          </cell>
          <cell r="BW1987">
            <v>759</v>
          </cell>
        </row>
        <row r="1988">
          <cell r="L1988" t="str">
            <v>WA2502ST40BK</v>
          </cell>
          <cell r="BW1988">
            <v>813</v>
          </cell>
        </row>
        <row r="1989">
          <cell r="L1989" t="str">
            <v>WA2502ST40BK</v>
          </cell>
          <cell r="BW1989">
            <v>284</v>
          </cell>
        </row>
        <row r="1990">
          <cell r="L1990" t="str">
            <v>WA2502ST40WH</v>
          </cell>
          <cell r="BW1990">
            <v>576</v>
          </cell>
        </row>
        <row r="1991">
          <cell r="L1991" t="str">
            <v>WA2502ST40WH</v>
          </cell>
          <cell r="BW1991">
            <v>755</v>
          </cell>
        </row>
        <row r="1992">
          <cell r="L1992" t="str">
            <v>WA2502ST40WH</v>
          </cell>
          <cell r="BW1992">
            <v>779</v>
          </cell>
        </row>
        <row r="1993">
          <cell r="L1993" t="str">
            <v>WA2502ST40WH</v>
          </cell>
          <cell r="BW1993">
            <v>368</v>
          </cell>
        </row>
        <row r="1994">
          <cell r="L1994" t="str">
            <v>WA2502ST41BK</v>
          </cell>
          <cell r="BW1994">
            <v>195</v>
          </cell>
        </row>
        <row r="1995">
          <cell r="L1995" t="str">
            <v>WA2502ST41BK</v>
          </cell>
          <cell r="BW1995">
            <v>399</v>
          </cell>
        </row>
        <row r="1996">
          <cell r="L1996" t="str">
            <v>WA2502ST41BK</v>
          </cell>
          <cell r="BW1996">
            <v>489</v>
          </cell>
        </row>
        <row r="1997">
          <cell r="L1997" t="str">
            <v>WA2502ST41BK</v>
          </cell>
          <cell r="BW1997">
            <v>141</v>
          </cell>
        </row>
        <row r="1998">
          <cell r="L1998" t="str">
            <v>WA2502ST41LG</v>
          </cell>
          <cell r="BW1998">
            <v>147</v>
          </cell>
        </row>
        <row r="1999">
          <cell r="L1999" t="str">
            <v>WA2502ST41LG</v>
          </cell>
          <cell r="BW1999">
            <v>170</v>
          </cell>
        </row>
        <row r="2000">
          <cell r="L2000" t="str">
            <v>WA2502ST41LG</v>
          </cell>
          <cell r="BW2000">
            <v>77</v>
          </cell>
        </row>
        <row r="2001">
          <cell r="L2001" t="str">
            <v>WA2502ST41LG</v>
          </cell>
          <cell r="BW2001">
            <v>131</v>
          </cell>
        </row>
        <row r="2002">
          <cell r="L2002" t="str">
            <v>WA2502ST42BK</v>
          </cell>
          <cell r="BW2002">
            <v>59</v>
          </cell>
        </row>
        <row r="2003">
          <cell r="L2003" t="str">
            <v>WA2502ST42BK</v>
          </cell>
          <cell r="BW2003">
            <v>91</v>
          </cell>
        </row>
        <row r="2004">
          <cell r="L2004" t="str">
            <v>WA2502ST42BK</v>
          </cell>
          <cell r="BW2004">
            <v>263</v>
          </cell>
        </row>
        <row r="2005">
          <cell r="L2005" t="str">
            <v>WA2502ST42BK</v>
          </cell>
          <cell r="BW2005">
            <v>15</v>
          </cell>
        </row>
        <row r="2006">
          <cell r="L2006" t="str">
            <v>WA2502ST42WH</v>
          </cell>
          <cell r="BW2006">
            <v>256</v>
          </cell>
        </row>
        <row r="2007">
          <cell r="L2007" t="str">
            <v>WA2502ST42WH</v>
          </cell>
          <cell r="BW2007">
            <v>375</v>
          </cell>
        </row>
        <row r="2008">
          <cell r="L2008" t="str">
            <v>WA2502ST42WH</v>
          </cell>
          <cell r="BW2008">
            <v>265</v>
          </cell>
        </row>
        <row r="2009">
          <cell r="L2009" t="str">
            <v>WA2502ST42WH</v>
          </cell>
          <cell r="BW2009">
            <v>198</v>
          </cell>
        </row>
        <row r="2010">
          <cell r="L2010" t="str">
            <v>WA2502ST43BK</v>
          </cell>
          <cell r="BW2010">
            <v>924</v>
          </cell>
        </row>
        <row r="2011">
          <cell r="L2011" t="str">
            <v>WA2502ST43BK</v>
          </cell>
          <cell r="BW2011">
            <v>1421</v>
          </cell>
        </row>
        <row r="2012">
          <cell r="L2012" t="str">
            <v>WA2502ST43BK</v>
          </cell>
          <cell r="BW2012">
            <v>1183</v>
          </cell>
        </row>
        <row r="2013">
          <cell r="L2013" t="str">
            <v>WA2502ST43BK</v>
          </cell>
          <cell r="BW2013">
            <v>605</v>
          </cell>
        </row>
        <row r="2014">
          <cell r="L2014" t="str">
            <v>WA2502ST43DN</v>
          </cell>
          <cell r="BW2014">
            <v>133</v>
          </cell>
        </row>
        <row r="2015">
          <cell r="L2015" t="str">
            <v>WA2502ST43DN</v>
          </cell>
          <cell r="BW2015">
            <v>166</v>
          </cell>
        </row>
        <row r="2016">
          <cell r="L2016" t="str">
            <v>WA2502ST43DN</v>
          </cell>
          <cell r="BW2016">
            <v>77</v>
          </cell>
        </row>
        <row r="2017">
          <cell r="L2017" t="str">
            <v>WA2502ST43DN</v>
          </cell>
          <cell r="BW2017">
            <v>39</v>
          </cell>
        </row>
        <row r="2018">
          <cell r="L2018" t="str">
            <v>WA2502ST43WH</v>
          </cell>
          <cell r="BW2018">
            <v>1024</v>
          </cell>
        </row>
        <row r="2019">
          <cell r="L2019" t="str">
            <v>WA2502ST43WH</v>
          </cell>
          <cell r="BW2019">
            <v>1155</v>
          </cell>
        </row>
        <row r="2020">
          <cell r="L2020" t="str">
            <v>WA2502ST43WH</v>
          </cell>
          <cell r="BW2020">
            <v>651</v>
          </cell>
        </row>
        <row r="2021">
          <cell r="L2021" t="str">
            <v>WA2502ST43WH</v>
          </cell>
          <cell r="BW2021">
            <v>978</v>
          </cell>
        </row>
        <row r="2022">
          <cell r="L2022" t="str">
            <v>WA2502ST51BK</v>
          </cell>
          <cell r="BW2022">
            <v>18</v>
          </cell>
        </row>
        <row r="2023">
          <cell r="L2023" t="str">
            <v>WA2502ST51BK</v>
          </cell>
          <cell r="BW2023">
            <v>257</v>
          </cell>
        </row>
        <row r="2024">
          <cell r="L2024" t="str">
            <v>WA2502ST51LG</v>
          </cell>
          <cell r="BW2024">
            <v>6</v>
          </cell>
        </row>
        <row r="2025">
          <cell r="L2025" t="str">
            <v>WA2502ST51LG</v>
          </cell>
          <cell r="BW2025">
            <v>11</v>
          </cell>
        </row>
        <row r="2026">
          <cell r="L2026" t="str">
            <v>WA2502ST51LY</v>
          </cell>
          <cell r="BW2026">
            <v>2</v>
          </cell>
        </row>
        <row r="2027">
          <cell r="L2027" t="str">
            <v>WA2502ST51LY</v>
          </cell>
          <cell r="BW2027">
            <v>8</v>
          </cell>
        </row>
        <row r="2028">
          <cell r="L2028" t="str">
            <v>WA2502ST51PI</v>
          </cell>
          <cell r="BW2028">
            <v>4</v>
          </cell>
        </row>
        <row r="2029">
          <cell r="L2029" t="str">
            <v>WA2502ST51PI</v>
          </cell>
          <cell r="BW2029">
            <v>18</v>
          </cell>
        </row>
        <row r="2030">
          <cell r="L2030" t="str">
            <v>WA2502ST51WH</v>
          </cell>
          <cell r="BW2030">
            <v>563</v>
          </cell>
        </row>
        <row r="2031">
          <cell r="L2031" t="str">
            <v>WA2502ST51WH</v>
          </cell>
          <cell r="BW2031">
            <v>936</v>
          </cell>
        </row>
        <row r="2032">
          <cell r="L2032" t="str">
            <v>WA2502ST52CM</v>
          </cell>
          <cell r="BW2032">
            <v>4</v>
          </cell>
        </row>
        <row r="2033">
          <cell r="L2033" t="str">
            <v>WA2502ST52CM</v>
          </cell>
          <cell r="BW2033">
            <v>118</v>
          </cell>
        </row>
        <row r="2034">
          <cell r="L2034" t="str">
            <v>WA2502ST52DN</v>
          </cell>
          <cell r="BW2034">
            <v>56</v>
          </cell>
        </row>
        <row r="2035">
          <cell r="L2035" t="str">
            <v>WA2502ST52DN</v>
          </cell>
          <cell r="BW2035">
            <v>619</v>
          </cell>
        </row>
        <row r="2036">
          <cell r="L2036" t="str">
            <v>WA2502ST52LG</v>
          </cell>
          <cell r="BW2036">
            <v>9</v>
          </cell>
        </row>
        <row r="2037">
          <cell r="L2037" t="str">
            <v>WA2502ST52LG</v>
          </cell>
          <cell r="BW2037">
            <v>149</v>
          </cell>
        </row>
        <row r="2038">
          <cell r="L2038" t="str">
            <v>WA2502ST53BK</v>
          </cell>
          <cell r="BW2038">
            <v>76</v>
          </cell>
        </row>
        <row r="2039">
          <cell r="L2039" t="str">
            <v>WA2502ST53BK</v>
          </cell>
          <cell r="BW2039">
            <v>223</v>
          </cell>
        </row>
        <row r="2040">
          <cell r="L2040" t="str">
            <v>WA2502ST53PI</v>
          </cell>
          <cell r="BW2040">
            <v>4</v>
          </cell>
        </row>
        <row r="2041">
          <cell r="L2041" t="str">
            <v>WA2502ST53PI</v>
          </cell>
          <cell r="BW2041">
            <v>10</v>
          </cell>
        </row>
        <row r="2042">
          <cell r="L2042" t="str">
            <v>WA2502ST53WH</v>
          </cell>
          <cell r="BW2042">
            <v>202</v>
          </cell>
        </row>
        <row r="2043">
          <cell r="L2043" t="str">
            <v>WA2502ST53WH</v>
          </cell>
          <cell r="BW2043">
            <v>340</v>
          </cell>
        </row>
        <row r="2044">
          <cell r="L2044" t="str">
            <v>WA2502ST54CM</v>
          </cell>
          <cell r="BW2044">
            <v>8</v>
          </cell>
        </row>
        <row r="2045">
          <cell r="L2045" t="str">
            <v>WA2502ST54CM</v>
          </cell>
          <cell r="BW2045">
            <v>16</v>
          </cell>
        </row>
        <row r="2046">
          <cell r="L2046" t="str">
            <v>WA2502ST54GR</v>
          </cell>
          <cell r="BW2046">
            <v>25</v>
          </cell>
        </row>
        <row r="2047">
          <cell r="L2047" t="str">
            <v>WA2502ST54GR</v>
          </cell>
          <cell r="BW2047">
            <v>69</v>
          </cell>
        </row>
        <row r="2048">
          <cell r="L2048" t="str">
            <v>WA2502ST54WH</v>
          </cell>
          <cell r="BW2048">
            <v>25</v>
          </cell>
        </row>
        <row r="2049">
          <cell r="L2049" t="str">
            <v>WA2502ST54WH</v>
          </cell>
          <cell r="BW2049">
            <v>139</v>
          </cell>
        </row>
        <row r="2050">
          <cell r="L2050" t="str">
            <v>WA2502ST61IV</v>
          </cell>
          <cell r="BW2050">
            <v>3</v>
          </cell>
        </row>
        <row r="2051">
          <cell r="L2051" t="str">
            <v>WA2502ST61IV</v>
          </cell>
          <cell r="BW2051">
            <v>1</v>
          </cell>
        </row>
        <row r="2052">
          <cell r="L2052" t="str">
            <v>WA2502ST61OT</v>
          </cell>
          <cell r="BW2052">
            <v>6</v>
          </cell>
        </row>
        <row r="2053">
          <cell r="L2053" t="str">
            <v>WA2502ST61OT</v>
          </cell>
          <cell r="BW2053">
            <v>21</v>
          </cell>
        </row>
        <row r="2054">
          <cell r="L2054" t="str">
            <v>WA2502ST62DN</v>
          </cell>
          <cell r="BW2054">
            <v>5</v>
          </cell>
        </row>
        <row r="2055">
          <cell r="L2055" t="str">
            <v>WA2502ST62DN</v>
          </cell>
          <cell r="BW2055">
            <v>99</v>
          </cell>
        </row>
        <row r="2056">
          <cell r="L2056" t="str">
            <v>WA2502ST62LG</v>
          </cell>
          <cell r="BW2056">
            <v>39</v>
          </cell>
        </row>
        <row r="2057">
          <cell r="L2057" t="str">
            <v>WA2502ST62LG</v>
          </cell>
          <cell r="BW2057">
            <v>96</v>
          </cell>
        </row>
        <row r="2058">
          <cell r="L2058" t="str">
            <v>WA2502ST62WH</v>
          </cell>
          <cell r="BW2058">
            <v>1232</v>
          </cell>
        </row>
        <row r="2059">
          <cell r="L2059" t="str">
            <v>WA2502ST62WH</v>
          </cell>
          <cell r="BW2059">
            <v>1497</v>
          </cell>
        </row>
        <row r="2060">
          <cell r="L2060" t="str">
            <v>WA2502ST63IV</v>
          </cell>
          <cell r="BW2060">
            <v>44</v>
          </cell>
        </row>
        <row r="2061">
          <cell r="L2061" t="str">
            <v>WA2502ST63IV</v>
          </cell>
          <cell r="BW2061">
            <v>99</v>
          </cell>
        </row>
        <row r="2062">
          <cell r="L2062" t="str">
            <v>WA2502ST63PI</v>
          </cell>
          <cell r="BW2062">
            <v>14</v>
          </cell>
        </row>
        <row r="2063">
          <cell r="L2063" t="str">
            <v>WA2502ST63PI</v>
          </cell>
          <cell r="BW2063">
            <v>18</v>
          </cell>
        </row>
        <row r="2064">
          <cell r="L2064" t="str">
            <v>WA2502ST64GR</v>
          </cell>
          <cell r="BW2064">
            <v>2</v>
          </cell>
        </row>
        <row r="2065">
          <cell r="L2065" t="str">
            <v>WA2502ST64GR</v>
          </cell>
          <cell r="BW2065">
            <v>8</v>
          </cell>
        </row>
        <row r="2066">
          <cell r="L2066" t="str">
            <v>WA2502ST64LY</v>
          </cell>
          <cell r="BW2066">
            <v>99</v>
          </cell>
        </row>
        <row r="2067">
          <cell r="L2067" t="str">
            <v>WA2502ST64LY</v>
          </cell>
          <cell r="BW2067">
            <v>106</v>
          </cell>
        </row>
        <row r="2068">
          <cell r="L2068" t="str">
            <v>WA2502ST64SB</v>
          </cell>
          <cell r="BW2068">
            <v>72</v>
          </cell>
        </row>
        <row r="2069">
          <cell r="L2069" t="str">
            <v>WA2502ST64SB</v>
          </cell>
          <cell r="BW2069">
            <v>91</v>
          </cell>
        </row>
        <row r="2070">
          <cell r="L2070" t="str">
            <v>WA2502ST65IV</v>
          </cell>
          <cell r="BW2070">
            <v>8</v>
          </cell>
        </row>
        <row r="2071">
          <cell r="L2071" t="str">
            <v>WA2502ST65IV</v>
          </cell>
          <cell r="BW2071">
            <v>20</v>
          </cell>
        </row>
        <row r="2072">
          <cell r="L2072" t="str">
            <v>WA2502ST65MU</v>
          </cell>
          <cell r="BW2072">
            <v>4</v>
          </cell>
        </row>
        <row r="2073">
          <cell r="L2073" t="str">
            <v>WA2502ST65MU</v>
          </cell>
          <cell r="BW2073">
            <v>16</v>
          </cell>
        </row>
        <row r="2074">
          <cell r="L2074" t="str">
            <v>WA2502ST66IV</v>
          </cell>
          <cell r="BW2074">
            <v>17</v>
          </cell>
        </row>
        <row r="2075">
          <cell r="L2075" t="str">
            <v>WA2502ST66IV</v>
          </cell>
          <cell r="BW2075">
            <v>18</v>
          </cell>
        </row>
        <row r="2076">
          <cell r="L2076" t="str">
            <v>WA2502ST66NA</v>
          </cell>
          <cell r="BW2076">
            <v>10</v>
          </cell>
        </row>
        <row r="2077">
          <cell r="L2077" t="str">
            <v>WA2502ST66NA</v>
          </cell>
          <cell r="BW2077">
            <v>39</v>
          </cell>
        </row>
        <row r="2078">
          <cell r="L2078" t="str">
            <v>WA2502ST66SB</v>
          </cell>
          <cell r="BW2078">
            <v>7</v>
          </cell>
        </row>
        <row r="2079">
          <cell r="L2079" t="str">
            <v>WA2502ST66SB</v>
          </cell>
          <cell r="BW2079">
            <v>7</v>
          </cell>
        </row>
        <row r="2080">
          <cell r="L2080" t="str">
            <v>WA2502ST67GN</v>
          </cell>
          <cell r="BW2080">
            <v>9</v>
          </cell>
        </row>
        <row r="2081">
          <cell r="L2081" t="str">
            <v>WA2502ST67GN</v>
          </cell>
          <cell r="BW2081">
            <v>14</v>
          </cell>
        </row>
        <row r="2082">
          <cell r="L2082" t="str">
            <v>WA2502ST67SB</v>
          </cell>
          <cell r="BW2082">
            <v>0</v>
          </cell>
        </row>
        <row r="2083">
          <cell r="L2083" t="str">
            <v>WA2502ST67SB</v>
          </cell>
          <cell r="BW2083">
            <v>2</v>
          </cell>
        </row>
        <row r="2084">
          <cell r="L2084" t="str">
            <v>WA2502ST68TC</v>
          </cell>
          <cell r="BW2084">
            <v>226</v>
          </cell>
        </row>
        <row r="2085">
          <cell r="L2085" t="str">
            <v>WA2502ST68TC</v>
          </cell>
          <cell r="BW2085">
            <v>152</v>
          </cell>
        </row>
        <row r="2086">
          <cell r="L2086" t="str">
            <v>WA2502ST69TC</v>
          </cell>
          <cell r="BW2086">
            <v>165</v>
          </cell>
        </row>
        <row r="2087">
          <cell r="L2087" t="str">
            <v>WA2502ST69TC</v>
          </cell>
          <cell r="BW2087">
            <v>140</v>
          </cell>
        </row>
        <row r="2088">
          <cell r="L2088" t="str">
            <v>WA2502ST70DN</v>
          </cell>
          <cell r="BW2088">
            <v>291</v>
          </cell>
        </row>
        <row r="2089">
          <cell r="L2089" t="str">
            <v>WA2502ST70PI</v>
          </cell>
          <cell r="BW2089">
            <v>79</v>
          </cell>
        </row>
        <row r="2090">
          <cell r="L2090" t="str">
            <v>WA2502ST70WH</v>
          </cell>
          <cell r="BW2090">
            <v>48</v>
          </cell>
        </row>
        <row r="2091">
          <cell r="L2091" t="str">
            <v>WA2502ST71BK</v>
          </cell>
          <cell r="BW2091">
            <v>259</v>
          </cell>
        </row>
        <row r="2092">
          <cell r="L2092" t="str">
            <v>WA2502ST71RD</v>
          </cell>
          <cell r="BW2092">
            <v>42</v>
          </cell>
        </row>
        <row r="2093">
          <cell r="L2093" t="str">
            <v>WA2502ST72IV</v>
          </cell>
          <cell r="BW2093">
            <v>4</v>
          </cell>
        </row>
        <row r="2094">
          <cell r="L2094" t="str">
            <v>WA2502ST72IV</v>
          </cell>
          <cell r="BW2094">
            <v>9</v>
          </cell>
        </row>
        <row r="2095">
          <cell r="L2095" t="str">
            <v>WA2502ST72NA</v>
          </cell>
          <cell r="BW2095">
            <v>2</v>
          </cell>
        </row>
        <row r="2096">
          <cell r="L2096" t="str">
            <v>WA2502ST72NA</v>
          </cell>
          <cell r="BW2096">
            <v>4</v>
          </cell>
        </row>
        <row r="2097">
          <cell r="L2097" t="str">
            <v>WA2502ST73WH</v>
          </cell>
          <cell r="BW2097">
            <v>1</v>
          </cell>
        </row>
        <row r="2098">
          <cell r="L2098" t="str">
            <v>WA2502ST73WH</v>
          </cell>
          <cell r="BW2098">
            <v>5</v>
          </cell>
        </row>
        <row r="2099">
          <cell r="L2099" t="str">
            <v>WA2502ST74CH</v>
          </cell>
          <cell r="BW2099">
            <v>3</v>
          </cell>
        </row>
        <row r="2100">
          <cell r="L2100" t="str">
            <v>WA2502ST74CH</v>
          </cell>
          <cell r="BW2100">
            <v>0</v>
          </cell>
        </row>
        <row r="2101">
          <cell r="L2101" t="str">
            <v>WA2502ST74IV</v>
          </cell>
          <cell r="BW2101">
            <v>1</v>
          </cell>
        </row>
        <row r="2102">
          <cell r="L2102" t="str">
            <v>WA2502ST74IV</v>
          </cell>
          <cell r="BW2102">
            <v>6</v>
          </cell>
        </row>
        <row r="2103">
          <cell r="L2103" t="str">
            <v>WA2502ST74SB</v>
          </cell>
          <cell r="BW2103">
            <v>99</v>
          </cell>
        </row>
        <row r="2104">
          <cell r="L2104" t="str">
            <v>WA2502ST75LG</v>
          </cell>
          <cell r="BW2104">
            <v>3</v>
          </cell>
        </row>
        <row r="2105">
          <cell r="L2105" t="str">
            <v>WA2502ST75LG</v>
          </cell>
          <cell r="BW2105">
            <v>5</v>
          </cell>
        </row>
        <row r="2106">
          <cell r="L2106" t="str">
            <v>WA2502ST75WH</v>
          </cell>
          <cell r="BW2106">
            <v>9</v>
          </cell>
        </row>
        <row r="2107">
          <cell r="L2107" t="str">
            <v>WA2502ST75WH</v>
          </cell>
          <cell r="BW2107">
            <v>7</v>
          </cell>
        </row>
        <row r="2108">
          <cell r="L2108" t="str">
            <v>WA2502ST76DN</v>
          </cell>
          <cell r="BW2108">
            <v>45</v>
          </cell>
        </row>
        <row r="2109">
          <cell r="L2109" t="str">
            <v>WA2502ST76LG</v>
          </cell>
          <cell r="BW2109">
            <v>25</v>
          </cell>
        </row>
        <row r="2110">
          <cell r="L2110" t="str">
            <v>WA2502ST81GN</v>
          </cell>
          <cell r="BW2110">
            <v>115</v>
          </cell>
        </row>
        <row r="2111">
          <cell r="L2111" t="str">
            <v>WA2502ST81GN</v>
          </cell>
          <cell r="BW2111">
            <v>74</v>
          </cell>
        </row>
        <row r="2112">
          <cell r="L2112" t="str">
            <v>WA2502ST81GN</v>
          </cell>
          <cell r="BW2112">
            <v>118</v>
          </cell>
        </row>
        <row r="2113">
          <cell r="L2113" t="str">
            <v>WA2502ST81LG</v>
          </cell>
          <cell r="BW2113">
            <v>210</v>
          </cell>
        </row>
        <row r="2114">
          <cell r="L2114" t="str">
            <v>WA2502ST81LG</v>
          </cell>
          <cell r="BW2114">
            <v>153</v>
          </cell>
        </row>
        <row r="2115">
          <cell r="L2115" t="str">
            <v>WA2502ST81LG</v>
          </cell>
          <cell r="BW2115">
            <v>235</v>
          </cell>
        </row>
        <row r="2116">
          <cell r="L2116" t="str">
            <v>WA2502ST81NA</v>
          </cell>
          <cell r="BW2116">
            <v>121</v>
          </cell>
        </row>
        <row r="2117">
          <cell r="L2117" t="str">
            <v>WA2502ST81NA</v>
          </cell>
          <cell r="BW2117">
            <v>82</v>
          </cell>
        </row>
        <row r="2118">
          <cell r="L2118" t="str">
            <v>WA2502ST81NA</v>
          </cell>
          <cell r="BW2118">
            <v>144</v>
          </cell>
        </row>
        <row r="2119">
          <cell r="L2119" t="str">
            <v>WA2502ST82GN</v>
          </cell>
          <cell r="BW2119">
            <v>69</v>
          </cell>
        </row>
        <row r="2120">
          <cell r="L2120" t="str">
            <v>WA2502ST82GN</v>
          </cell>
          <cell r="BW2120">
            <v>8</v>
          </cell>
        </row>
        <row r="2121">
          <cell r="L2121" t="str">
            <v>WA2502ST82GN</v>
          </cell>
          <cell r="BW2121">
            <v>17</v>
          </cell>
        </row>
        <row r="2122">
          <cell r="L2122" t="str">
            <v>WA2502ST82NA</v>
          </cell>
          <cell r="BW2122">
            <v>46</v>
          </cell>
        </row>
        <row r="2123">
          <cell r="L2123" t="str">
            <v>WA2502ST82NA</v>
          </cell>
          <cell r="BW2123">
            <v>16</v>
          </cell>
        </row>
        <row r="2124">
          <cell r="L2124" t="str">
            <v>WA2502ST82NA</v>
          </cell>
          <cell r="BW2124">
            <v>40</v>
          </cell>
        </row>
        <row r="2125">
          <cell r="L2125" t="str">
            <v>WA2502ST82WH</v>
          </cell>
          <cell r="BW2125">
            <v>66</v>
          </cell>
        </row>
        <row r="2126">
          <cell r="L2126" t="str">
            <v>WA2502ST82WH</v>
          </cell>
          <cell r="BW2126">
            <v>17</v>
          </cell>
        </row>
        <row r="2127">
          <cell r="L2127" t="str">
            <v>WA2502ST82WH</v>
          </cell>
          <cell r="BW2127">
            <v>12</v>
          </cell>
        </row>
        <row r="2128">
          <cell r="L2128" t="str">
            <v>WA2502ST83LG</v>
          </cell>
          <cell r="BW2128">
            <v>137</v>
          </cell>
        </row>
        <row r="2129">
          <cell r="L2129" t="str">
            <v>WA2502ST83LG</v>
          </cell>
          <cell r="BW2129">
            <v>100</v>
          </cell>
        </row>
        <row r="2130">
          <cell r="L2130" t="str">
            <v>WA2502ST83LG</v>
          </cell>
          <cell r="BW2130">
            <v>176</v>
          </cell>
        </row>
        <row r="2131">
          <cell r="L2131" t="str">
            <v>WA2502ST83NA</v>
          </cell>
          <cell r="BW2131">
            <v>190</v>
          </cell>
        </row>
        <row r="2132">
          <cell r="L2132" t="str">
            <v>WA2502ST83NA</v>
          </cell>
          <cell r="BW2132">
            <v>152</v>
          </cell>
        </row>
        <row r="2133">
          <cell r="L2133" t="str">
            <v>WA2502ST83NA</v>
          </cell>
          <cell r="BW2133">
            <v>268</v>
          </cell>
        </row>
        <row r="2134">
          <cell r="L2134" t="str">
            <v>WA2502ST83WH</v>
          </cell>
          <cell r="BW2134">
            <v>222</v>
          </cell>
        </row>
        <row r="2135">
          <cell r="L2135" t="str">
            <v>WA2502ST83WH</v>
          </cell>
          <cell r="BW2135">
            <v>177</v>
          </cell>
        </row>
        <row r="2136">
          <cell r="L2136" t="str">
            <v>WA2502ST83WH</v>
          </cell>
          <cell r="BW2136">
            <v>321</v>
          </cell>
        </row>
        <row r="2137">
          <cell r="L2137" t="str">
            <v>WA2502ST84CM</v>
          </cell>
          <cell r="BW2137">
            <v>36</v>
          </cell>
        </row>
        <row r="2138">
          <cell r="L2138" t="str">
            <v>WA2502ST84CM</v>
          </cell>
          <cell r="BW2138">
            <v>17</v>
          </cell>
        </row>
        <row r="2139">
          <cell r="L2139" t="str">
            <v>WA2502ST84CM</v>
          </cell>
          <cell r="BW2139">
            <v>19</v>
          </cell>
        </row>
        <row r="2140">
          <cell r="L2140" t="str">
            <v>WA2502ST85BK</v>
          </cell>
          <cell r="BW2140">
            <v>102</v>
          </cell>
        </row>
        <row r="2141">
          <cell r="L2141" t="str">
            <v>WA2502ST85BK</v>
          </cell>
          <cell r="BW2141">
            <v>16</v>
          </cell>
        </row>
        <row r="2142">
          <cell r="L2142" t="str">
            <v>WA2502ST85BK</v>
          </cell>
          <cell r="BW2142">
            <v>33</v>
          </cell>
        </row>
        <row r="2143">
          <cell r="L2143" t="str">
            <v>WA2502ST85WH</v>
          </cell>
          <cell r="BW2143">
            <v>51</v>
          </cell>
        </row>
        <row r="2144">
          <cell r="L2144" t="str">
            <v>WA2502ST85WH</v>
          </cell>
          <cell r="BW2144">
            <v>10</v>
          </cell>
        </row>
        <row r="2145">
          <cell r="L2145" t="str">
            <v>WA2502ST85WH</v>
          </cell>
          <cell r="BW2145">
            <v>5</v>
          </cell>
        </row>
        <row r="2146">
          <cell r="L2146" t="str">
            <v>WA2502ST86LG</v>
          </cell>
          <cell r="BW2146">
            <v>168</v>
          </cell>
        </row>
        <row r="2147">
          <cell r="L2147" t="str">
            <v>WA2502ST86LG</v>
          </cell>
          <cell r="BW2147">
            <v>101</v>
          </cell>
        </row>
        <row r="2148">
          <cell r="L2148" t="str">
            <v>WA2502ST86LG</v>
          </cell>
          <cell r="BW2148">
            <v>164</v>
          </cell>
        </row>
        <row r="2149">
          <cell r="L2149" t="str">
            <v>WA2502ST86WH</v>
          </cell>
          <cell r="BW2149">
            <v>100</v>
          </cell>
        </row>
        <row r="2150">
          <cell r="L2150" t="str">
            <v>WA2502ST86WH</v>
          </cell>
          <cell r="BW2150">
            <v>54</v>
          </cell>
        </row>
        <row r="2151">
          <cell r="L2151" t="str">
            <v>WA2502ST86WH</v>
          </cell>
          <cell r="BW2151">
            <v>59</v>
          </cell>
        </row>
        <row r="2152">
          <cell r="L2152" t="str">
            <v>WA2502ST87WH</v>
          </cell>
          <cell r="BW2152">
            <v>53</v>
          </cell>
        </row>
        <row r="2153">
          <cell r="L2153" t="str">
            <v>WA2502ST87WH</v>
          </cell>
          <cell r="BW2153">
            <v>15</v>
          </cell>
        </row>
        <row r="2154">
          <cell r="L2154" t="str">
            <v>WA2502ST87WH</v>
          </cell>
          <cell r="BW2154">
            <v>34</v>
          </cell>
        </row>
        <row r="2155">
          <cell r="L2155" t="str">
            <v>WA2502STD1BK</v>
          </cell>
          <cell r="BW2155">
            <v>14</v>
          </cell>
        </row>
        <row r="2156">
          <cell r="L2156" t="str">
            <v>WA2502STD1BK</v>
          </cell>
          <cell r="BW2156">
            <v>2</v>
          </cell>
        </row>
        <row r="2157">
          <cell r="L2157" t="str">
            <v>WA2502STD1BK</v>
          </cell>
          <cell r="BW2157">
            <v>0</v>
          </cell>
        </row>
        <row r="2158">
          <cell r="L2158" t="str">
            <v>WA2502STD1BK</v>
          </cell>
          <cell r="BW2158">
            <v>10</v>
          </cell>
        </row>
        <row r="2159">
          <cell r="L2159" t="str">
            <v>WA2502STD2BK</v>
          </cell>
          <cell r="BW2159">
            <v>4</v>
          </cell>
        </row>
        <row r="2160">
          <cell r="L2160" t="str">
            <v>WA2502STD2BK</v>
          </cell>
          <cell r="BW2160">
            <v>68</v>
          </cell>
        </row>
        <row r="2161">
          <cell r="L2161" t="str">
            <v>WA2502STD2BK</v>
          </cell>
          <cell r="BW2161">
            <v>29</v>
          </cell>
        </row>
        <row r="2162">
          <cell r="L2162" t="str">
            <v>WA2502STD2BK</v>
          </cell>
          <cell r="BW2162">
            <v>29</v>
          </cell>
        </row>
        <row r="2163">
          <cell r="L2163" t="str">
            <v>WA2502STD2WH</v>
          </cell>
          <cell r="BW2163">
            <v>23</v>
          </cell>
        </row>
        <row r="2164">
          <cell r="L2164" t="str">
            <v>WA2502STD2WH</v>
          </cell>
          <cell r="BW2164">
            <v>82</v>
          </cell>
        </row>
        <row r="2165">
          <cell r="L2165" t="str">
            <v>WA2502STD2WH</v>
          </cell>
          <cell r="BW2165">
            <v>37</v>
          </cell>
        </row>
        <row r="2166">
          <cell r="L2166" t="str">
            <v>WA2502STD2WH</v>
          </cell>
          <cell r="BW2166">
            <v>48</v>
          </cell>
        </row>
        <row r="2167">
          <cell r="L2167" t="str">
            <v>WA2502STD3WH</v>
          </cell>
          <cell r="BW2167">
            <v>0</v>
          </cell>
        </row>
        <row r="2168">
          <cell r="L2168" t="str">
            <v>WA2502STD3WH</v>
          </cell>
          <cell r="BW2168">
            <v>0</v>
          </cell>
        </row>
        <row r="2169">
          <cell r="L2169" t="str">
            <v>WA2502STD3WH</v>
          </cell>
          <cell r="BW2169">
            <v>0</v>
          </cell>
        </row>
        <row r="2170">
          <cell r="L2170" t="str">
            <v>WA2502STD3WH</v>
          </cell>
          <cell r="BW2170">
            <v>0</v>
          </cell>
        </row>
        <row r="2171">
          <cell r="L2171" t="str">
            <v>WA2502STE1BK</v>
          </cell>
          <cell r="BW2171">
            <v>860</v>
          </cell>
        </row>
        <row r="2172">
          <cell r="L2172" t="str">
            <v>WA2502STE1BK</v>
          </cell>
          <cell r="BW2172">
            <v>1526</v>
          </cell>
        </row>
        <row r="2173">
          <cell r="L2173" t="str">
            <v>WA2502STE1BK</v>
          </cell>
          <cell r="BW2173">
            <v>1952</v>
          </cell>
        </row>
        <row r="2174">
          <cell r="L2174" t="str">
            <v>WA2502STE1BK</v>
          </cell>
          <cell r="BW2174">
            <v>234</v>
          </cell>
        </row>
        <row r="2175">
          <cell r="L2175" t="str">
            <v>WA2502STE1BK</v>
          </cell>
          <cell r="BW2175">
            <v>98</v>
          </cell>
        </row>
        <row r="2176">
          <cell r="L2176" t="str">
            <v>WA2502STE1TC</v>
          </cell>
          <cell r="BW2176">
            <v>152</v>
          </cell>
        </row>
        <row r="2177">
          <cell r="L2177" t="str">
            <v>WA2502STE1TC</v>
          </cell>
          <cell r="BW2177">
            <v>164</v>
          </cell>
        </row>
        <row r="2178">
          <cell r="L2178" t="str">
            <v>WA2502STE1TC</v>
          </cell>
          <cell r="BW2178">
            <v>642</v>
          </cell>
        </row>
        <row r="2179">
          <cell r="L2179" t="str">
            <v>WA2502STE1TC</v>
          </cell>
          <cell r="BW2179">
            <v>220</v>
          </cell>
        </row>
        <row r="2180">
          <cell r="L2180" t="str">
            <v>WA2502STE1TC</v>
          </cell>
          <cell r="BW2180">
            <v>10</v>
          </cell>
        </row>
        <row r="2181">
          <cell r="L2181" t="str">
            <v>WA2502STE2TC</v>
          </cell>
          <cell r="BW2181">
            <v>18</v>
          </cell>
        </row>
        <row r="2182">
          <cell r="L2182" t="str">
            <v>WA2502STE2TC</v>
          </cell>
          <cell r="BW2182">
            <v>37</v>
          </cell>
        </row>
        <row r="2183">
          <cell r="L2183" t="str">
            <v>WA2502STE2TC</v>
          </cell>
          <cell r="BW2183">
            <v>160</v>
          </cell>
        </row>
        <row r="2184">
          <cell r="L2184" t="str">
            <v>WA2502STE2WH</v>
          </cell>
          <cell r="BW2184">
            <v>72</v>
          </cell>
        </row>
        <row r="2185">
          <cell r="L2185" t="str">
            <v>WA2502STE2WH</v>
          </cell>
          <cell r="BW2185">
            <v>213</v>
          </cell>
        </row>
        <row r="2186">
          <cell r="L2186" t="str">
            <v>WA2502STE2WH</v>
          </cell>
          <cell r="BW2186">
            <v>278</v>
          </cell>
        </row>
        <row r="2187">
          <cell r="L2187" t="str">
            <v>WA2502STL1BK</v>
          </cell>
          <cell r="BW2187">
            <v>5</v>
          </cell>
        </row>
        <row r="2188">
          <cell r="L2188" t="str">
            <v>WA2502STL1BK</v>
          </cell>
          <cell r="BW2188">
            <v>7</v>
          </cell>
        </row>
        <row r="2189">
          <cell r="L2189" t="str">
            <v>WA2502STL1BK</v>
          </cell>
          <cell r="BW2189">
            <v>10</v>
          </cell>
        </row>
        <row r="2190">
          <cell r="L2190" t="str">
            <v>WA2502STL1BK</v>
          </cell>
          <cell r="BW2190">
            <v>4</v>
          </cell>
        </row>
        <row r="2191">
          <cell r="L2191" t="str">
            <v>WA2502STL1BL</v>
          </cell>
          <cell r="BW2191">
            <v>9</v>
          </cell>
        </row>
        <row r="2192">
          <cell r="L2192" t="str">
            <v>WA2502STL1BL</v>
          </cell>
          <cell r="BW2192">
            <v>18</v>
          </cell>
        </row>
        <row r="2193">
          <cell r="L2193" t="str">
            <v>WA2502STL1BL</v>
          </cell>
          <cell r="BW2193">
            <v>19</v>
          </cell>
        </row>
        <row r="2194">
          <cell r="L2194" t="str">
            <v>WA2502STL1WH</v>
          </cell>
          <cell r="BW2194">
            <v>8</v>
          </cell>
        </row>
        <row r="2195">
          <cell r="L2195" t="str">
            <v>WA2502STL1WH</v>
          </cell>
          <cell r="BW2195">
            <v>13</v>
          </cell>
        </row>
        <row r="2196">
          <cell r="L2196" t="str">
            <v>WA2502STL1WH</v>
          </cell>
          <cell r="BW2196">
            <v>3</v>
          </cell>
        </row>
        <row r="2197">
          <cell r="L2197" t="str">
            <v>WA2502STL1WH</v>
          </cell>
          <cell r="BW2197">
            <v>8</v>
          </cell>
        </row>
        <row r="2198">
          <cell r="L2198" t="str">
            <v>WA2502STL2BL</v>
          </cell>
          <cell r="BW2198">
            <v>21</v>
          </cell>
        </row>
        <row r="2199">
          <cell r="L2199" t="str">
            <v>WA2502STL2BL</v>
          </cell>
          <cell r="BW2199">
            <v>20</v>
          </cell>
        </row>
        <row r="2200">
          <cell r="L2200" t="str">
            <v>WA2502STL2BL</v>
          </cell>
          <cell r="BW2200">
            <v>18</v>
          </cell>
        </row>
        <row r="2201">
          <cell r="L2201" t="str">
            <v>WA2502STL2WH</v>
          </cell>
          <cell r="BW2201">
            <v>3</v>
          </cell>
        </row>
        <row r="2202">
          <cell r="L2202" t="str">
            <v>WA2502STL2WH</v>
          </cell>
          <cell r="BW2202">
            <v>1</v>
          </cell>
        </row>
        <row r="2203">
          <cell r="L2203" t="str">
            <v>WA2502STL2WH</v>
          </cell>
          <cell r="BW2203">
            <v>1</v>
          </cell>
        </row>
        <row r="2204">
          <cell r="L2204" t="str">
            <v>WA2502STL2WH</v>
          </cell>
          <cell r="BW2204">
            <v>2</v>
          </cell>
        </row>
        <row r="2205">
          <cell r="L2205" t="str">
            <v>WA2502STL5LG</v>
          </cell>
          <cell r="BW2205">
            <v>13</v>
          </cell>
        </row>
        <row r="2206">
          <cell r="L2206" t="str">
            <v>WA2502STL5LG</v>
          </cell>
          <cell r="BW2206">
            <v>19</v>
          </cell>
        </row>
        <row r="2207">
          <cell r="L2207" t="str">
            <v>WA2502STL5NA</v>
          </cell>
          <cell r="BW2207">
            <v>11</v>
          </cell>
        </row>
        <row r="2208">
          <cell r="L2208" t="str">
            <v>WA2502STL5NA</v>
          </cell>
          <cell r="BW2208">
            <v>27</v>
          </cell>
        </row>
        <row r="2209">
          <cell r="L2209" t="str">
            <v>WA2502STL5WH</v>
          </cell>
          <cell r="BW2209">
            <v>18</v>
          </cell>
        </row>
        <row r="2210">
          <cell r="L2210" t="str">
            <v>WA2502STL5WH</v>
          </cell>
          <cell r="BW2210">
            <v>46</v>
          </cell>
        </row>
        <row r="2211">
          <cell r="L2211" t="str">
            <v>WA2502STL6CM</v>
          </cell>
          <cell r="BW2211">
            <v>4</v>
          </cell>
        </row>
        <row r="2212">
          <cell r="L2212" t="str">
            <v>WA2502STL6CM</v>
          </cell>
          <cell r="BW2212">
            <v>4</v>
          </cell>
        </row>
        <row r="2213">
          <cell r="L2213" t="str">
            <v>WA2502STL6LG</v>
          </cell>
          <cell r="BW2213">
            <v>0</v>
          </cell>
        </row>
        <row r="2214">
          <cell r="L2214" t="str">
            <v>WA2502STL6LG</v>
          </cell>
          <cell r="BW2214">
            <v>2</v>
          </cell>
        </row>
        <row r="2215">
          <cell r="L2215" t="str">
            <v>WA2502STL7PI</v>
          </cell>
          <cell r="BW2215">
            <v>35</v>
          </cell>
        </row>
        <row r="2216">
          <cell r="L2216" t="str">
            <v>WA2502STL7PI</v>
          </cell>
          <cell r="BW2216">
            <v>47</v>
          </cell>
        </row>
        <row r="2217">
          <cell r="L2217" t="str">
            <v>WA2502STL7WH</v>
          </cell>
          <cell r="BW2217">
            <v>8</v>
          </cell>
        </row>
        <row r="2218">
          <cell r="L2218" t="str">
            <v>WA2502STL7WH</v>
          </cell>
          <cell r="BW2218">
            <v>9</v>
          </cell>
        </row>
        <row r="2219">
          <cell r="L2219" t="str">
            <v>WA2502STL8WH</v>
          </cell>
          <cell r="BW2219">
            <v>7</v>
          </cell>
        </row>
        <row r="2220">
          <cell r="L2220" t="str">
            <v>WA2502STL8WH</v>
          </cell>
          <cell r="BW2220">
            <v>31</v>
          </cell>
        </row>
        <row r="2221">
          <cell r="L2221" t="str">
            <v>WA2502STL8YE</v>
          </cell>
          <cell r="BW2221">
            <v>4</v>
          </cell>
        </row>
        <row r="2222">
          <cell r="L2222" t="str">
            <v>WA2502STL8YE</v>
          </cell>
          <cell r="BW2222">
            <v>47</v>
          </cell>
        </row>
        <row r="2223">
          <cell r="L2223" t="str">
            <v>WA2502STM1BK</v>
          </cell>
          <cell r="BW2223">
            <v>59</v>
          </cell>
        </row>
        <row r="2224">
          <cell r="L2224" t="str">
            <v>WA2502STM1BK</v>
          </cell>
          <cell r="BW2224">
            <v>11</v>
          </cell>
        </row>
        <row r="2225">
          <cell r="L2225" t="str">
            <v>WA2502STM1WH</v>
          </cell>
          <cell r="BW2225">
            <v>118</v>
          </cell>
        </row>
        <row r="2226">
          <cell r="L2226" t="str">
            <v>WA2502STM1WH</v>
          </cell>
          <cell r="BW2226">
            <v>85</v>
          </cell>
        </row>
        <row r="2227">
          <cell r="L2227" t="str">
            <v>WA2502STM2CH</v>
          </cell>
          <cell r="BW2227">
            <v>7</v>
          </cell>
        </row>
        <row r="2228">
          <cell r="L2228" t="str">
            <v>WA2502STM2CH</v>
          </cell>
          <cell r="BW2228">
            <v>0</v>
          </cell>
        </row>
        <row r="2229">
          <cell r="L2229" t="str">
            <v>WA2502STM2PI</v>
          </cell>
          <cell r="BW2229">
            <v>26</v>
          </cell>
        </row>
        <row r="2230">
          <cell r="L2230" t="str">
            <v>WA2502STM2PI</v>
          </cell>
          <cell r="BW2230">
            <v>33</v>
          </cell>
        </row>
        <row r="2231">
          <cell r="L2231" t="str">
            <v>WA2502STM3NA</v>
          </cell>
          <cell r="BW2231">
            <v>3</v>
          </cell>
        </row>
        <row r="2232">
          <cell r="L2232" t="str">
            <v>WA2502STM3NA</v>
          </cell>
          <cell r="BW2232">
            <v>1</v>
          </cell>
        </row>
        <row r="2233">
          <cell r="L2233" t="str">
            <v>WA2502STM3WH</v>
          </cell>
          <cell r="BW2233">
            <v>4</v>
          </cell>
        </row>
        <row r="2234">
          <cell r="L2234" t="str">
            <v>WA2502STM3WH</v>
          </cell>
          <cell r="BW2234">
            <v>4</v>
          </cell>
        </row>
        <row r="2235">
          <cell r="L2235" t="str">
            <v>WA2502STM4WH</v>
          </cell>
          <cell r="BW2235">
            <v>103</v>
          </cell>
        </row>
        <row r="2236">
          <cell r="L2236" t="str">
            <v>WA2502STO1BK</v>
          </cell>
          <cell r="BW2236">
            <v>40</v>
          </cell>
        </row>
        <row r="2237">
          <cell r="L2237" t="str">
            <v>WA2502STO1BK</v>
          </cell>
          <cell r="BW2237">
            <v>90</v>
          </cell>
        </row>
        <row r="2238">
          <cell r="L2238" t="str">
            <v>WA2502STO1BK</v>
          </cell>
          <cell r="BW2238">
            <v>102</v>
          </cell>
        </row>
        <row r="2239">
          <cell r="L2239" t="str">
            <v>WA2502STO1BK</v>
          </cell>
          <cell r="BW2239">
            <v>35</v>
          </cell>
        </row>
        <row r="2240">
          <cell r="L2240" t="str">
            <v>WA2502STO1BK</v>
          </cell>
          <cell r="BW2240">
            <v>3</v>
          </cell>
        </row>
        <row r="2241">
          <cell r="L2241" t="str">
            <v>WA2502STO1LK</v>
          </cell>
          <cell r="BW2241">
            <v>4</v>
          </cell>
        </row>
        <row r="2242">
          <cell r="L2242" t="str">
            <v>WA2502STO1LK</v>
          </cell>
          <cell r="BW2242">
            <v>2</v>
          </cell>
        </row>
        <row r="2243">
          <cell r="L2243" t="str">
            <v>WA2502STO1LK</v>
          </cell>
          <cell r="BW2243">
            <v>4</v>
          </cell>
        </row>
        <row r="2244">
          <cell r="L2244" t="str">
            <v>WA2502STO1LK</v>
          </cell>
          <cell r="BW2244">
            <v>3</v>
          </cell>
        </row>
        <row r="2245">
          <cell r="L2245" t="str">
            <v>WA2502STO1WH</v>
          </cell>
          <cell r="BW2245">
            <v>197</v>
          </cell>
        </row>
        <row r="2246">
          <cell r="L2246" t="str">
            <v>WA2502STO1WH</v>
          </cell>
          <cell r="BW2246">
            <v>216</v>
          </cell>
        </row>
        <row r="2247">
          <cell r="L2247" t="str">
            <v>WA2502STO1WH</v>
          </cell>
          <cell r="BW2247">
            <v>234</v>
          </cell>
        </row>
        <row r="2248">
          <cell r="L2248" t="str">
            <v>WA2502STO1WH</v>
          </cell>
          <cell r="BW2248">
            <v>198</v>
          </cell>
        </row>
        <row r="2249">
          <cell r="L2249" t="str">
            <v>WA2502STO1WH</v>
          </cell>
          <cell r="BW2249">
            <v>11</v>
          </cell>
        </row>
        <row r="2250">
          <cell r="L2250" t="str">
            <v>WA2502STO2BK</v>
          </cell>
          <cell r="BW2250">
            <v>314</v>
          </cell>
        </row>
        <row r="2251">
          <cell r="L2251" t="str">
            <v>WA2502STO2BK</v>
          </cell>
          <cell r="BW2251">
            <v>416</v>
          </cell>
        </row>
        <row r="2252">
          <cell r="L2252" t="str">
            <v>WA2502STO2BK</v>
          </cell>
          <cell r="BW2252">
            <v>360</v>
          </cell>
        </row>
        <row r="2253">
          <cell r="L2253" t="str">
            <v>WA2502STO2BK</v>
          </cell>
          <cell r="BW2253">
            <v>138</v>
          </cell>
        </row>
        <row r="2254">
          <cell r="L2254" t="str">
            <v>WA2502STO2BK</v>
          </cell>
          <cell r="BW2254">
            <v>14</v>
          </cell>
        </row>
        <row r="2255">
          <cell r="L2255" t="str">
            <v>WA2502STO2BL</v>
          </cell>
          <cell r="BW2255">
            <v>3</v>
          </cell>
        </row>
        <row r="2256">
          <cell r="L2256" t="str">
            <v>WA2502STO2BL</v>
          </cell>
          <cell r="BW2256">
            <v>1</v>
          </cell>
        </row>
        <row r="2257">
          <cell r="L2257" t="str">
            <v>WA2502STO2BL</v>
          </cell>
          <cell r="BW2257">
            <v>17</v>
          </cell>
        </row>
        <row r="2258">
          <cell r="L2258" t="str">
            <v>WA2502STO2BL</v>
          </cell>
          <cell r="BW2258">
            <v>2</v>
          </cell>
        </row>
        <row r="2259">
          <cell r="L2259" t="str">
            <v>WA2502STO2CM</v>
          </cell>
          <cell r="BW2259">
            <v>4</v>
          </cell>
        </row>
        <row r="2260">
          <cell r="L2260" t="str">
            <v>WA2502STO2CM</v>
          </cell>
          <cell r="BW2260">
            <v>3</v>
          </cell>
        </row>
        <row r="2261">
          <cell r="L2261" t="str">
            <v>WA2502STO2CM</v>
          </cell>
          <cell r="BW2261">
            <v>5</v>
          </cell>
        </row>
        <row r="2262">
          <cell r="L2262" t="str">
            <v>WA2502STO2CM</v>
          </cell>
          <cell r="BW2262">
            <v>1</v>
          </cell>
        </row>
        <row r="2263">
          <cell r="L2263" t="str">
            <v>WA2502STO2WH</v>
          </cell>
          <cell r="BW2263">
            <v>3</v>
          </cell>
        </row>
        <row r="2264">
          <cell r="L2264" t="str">
            <v>WA2502STO2WH</v>
          </cell>
          <cell r="BW2264">
            <v>5</v>
          </cell>
        </row>
        <row r="2265">
          <cell r="L2265" t="str">
            <v>WA2502STO2WH</v>
          </cell>
          <cell r="BW2265">
            <v>131</v>
          </cell>
        </row>
        <row r="2266">
          <cell r="L2266" t="str">
            <v>WA2502STO2WH</v>
          </cell>
          <cell r="BW2266">
            <v>6</v>
          </cell>
        </row>
        <row r="2267">
          <cell r="L2267" t="str">
            <v>WA2502STO2WH</v>
          </cell>
          <cell r="BW2267">
            <v>3</v>
          </cell>
        </row>
        <row r="2268">
          <cell r="L2268" t="str">
            <v>WA2502STO3BK</v>
          </cell>
          <cell r="BW2268">
            <v>115</v>
          </cell>
        </row>
        <row r="2269">
          <cell r="L2269" t="str">
            <v>WA2502STO3BK</v>
          </cell>
          <cell r="BW2269">
            <v>370</v>
          </cell>
        </row>
        <row r="2270">
          <cell r="L2270" t="str">
            <v>WA2502STO3BK</v>
          </cell>
          <cell r="BW2270">
            <v>499</v>
          </cell>
        </row>
        <row r="2271">
          <cell r="L2271" t="str">
            <v>WA2502STO3BK</v>
          </cell>
          <cell r="BW2271">
            <v>33</v>
          </cell>
        </row>
        <row r="2272">
          <cell r="L2272" t="str">
            <v>WA2502STO3BK</v>
          </cell>
          <cell r="BW2272">
            <v>92</v>
          </cell>
        </row>
        <row r="2273">
          <cell r="L2273" t="str">
            <v>WA2502STO3WH</v>
          </cell>
          <cell r="BW2273">
            <v>17</v>
          </cell>
        </row>
        <row r="2274">
          <cell r="L2274" t="str">
            <v>WA2502STO3WH</v>
          </cell>
          <cell r="BW2274">
            <v>5</v>
          </cell>
        </row>
        <row r="2275">
          <cell r="L2275" t="str">
            <v>WA2502STO3WH</v>
          </cell>
          <cell r="BW2275">
            <v>13</v>
          </cell>
        </row>
        <row r="2276">
          <cell r="L2276" t="str">
            <v>WA2502STO3WH</v>
          </cell>
          <cell r="BW2276">
            <v>33</v>
          </cell>
        </row>
        <row r="2277">
          <cell r="L2277" t="str">
            <v>WA2502STO3WH</v>
          </cell>
          <cell r="BW2277">
            <v>5</v>
          </cell>
        </row>
        <row r="2278">
          <cell r="L2278" t="str">
            <v>WA2502STO3YE</v>
          </cell>
          <cell r="BW2278">
            <v>4</v>
          </cell>
        </row>
        <row r="2279">
          <cell r="L2279" t="str">
            <v>WA2502STO3YE</v>
          </cell>
          <cell r="BW2279">
            <v>1</v>
          </cell>
        </row>
        <row r="2280">
          <cell r="L2280" t="str">
            <v>WA2502STO3YE</v>
          </cell>
          <cell r="BW2280">
            <v>2</v>
          </cell>
        </row>
        <row r="2281">
          <cell r="L2281" t="str">
            <v>WA2502STO3YE</v>
          </cell>
          <cell r="BW2281">
            <v>3</v>
          </cell>
        </row>
        <row r="2282">
          <cell r="L2282" t="str">
            <v>WA2502STO4GN</v>
          </cell>
          <cell r="BW2282">
            <v>11</v>
          </cell>
        </row>
        <row r="2283">
          <cell r="L2283" t="str">
            <v>WA2502STO4GN</v>
          </cell>
          <cell r="BW2283">
            <v>2</v>
          </cell>
        </row>
        <row r="2284">
          <cell r="L2284" t="str">
            <v>WA2502STO4GN</v>
          </cell>
          <cell r="BW2284">
            <v>12</v>
          </cell>
        </row>
        <row r="2285">
          <cell r="L2285" t="str">
            <v>WA2502STO4GN</v>
          </cell>
          <cell r="BW2285">
            <v>4</v>
          </cell>
        </row>
        <row r="2286">
          <cell r="L2286" t="str">
            <v>WA2502STO4NA</v>
          </cell>
          <cell r="BW2286">
            <v>4</v>
          </cell>
        </row>
        <row r="2287">
          <cell r="L2287" t="str">
            <v>WA2502STO4NA</v>
          </cell>
          <cell r="BW2287">
            <v>3</v>
          </cell>
        </row>
        <row r="2288">
          <cell r="L2288" t="str">
            <v>WA2502STO4NA</v>
          </cell>
          <cell r="BW2288">
            <v>2</v>
          </cell>
        </row>
        <row r="2289">
          <cell r="L2289" t="str">
            <v>WA2502STO4NA</v>
          </cell>
          <cell r="BW2289">
            <v>4</v>
          </cell>
        </row>
        <row r="2290">
          <cell r="L2290" t="str">
            <v>WA2502STO5LG</v>
          </cell>
          <cell r="BW2290">
            <v>6</v>
          </cell>
        </row>
        <row r="2291">
          <cell r="L2291" t="str">
            <v>WA2502STO5LG</v>
          </cell>
          <cell r="BW2291">
            <v>3</v>
          </cell>
        </row>
        <row r="2292">
          <cell r="L2292" t="str">
            <v>WA2502STO5LG</v>
          </cell>
          <cell r="BW2292">
            <v>4</v>
          </cell>
        </row>
        <row r="2293">
          <cell r="L2293" t="str">
            <v>WA2502STO5LG</v>
          </cell>
          <cell r="BW2293">
            <v>0</v>
          </cell>
        </row>
        <row r="2294">
          <cell r="L2294" t="str">
            <v>WA2502STO5PI</v>
          </cell>
          <cell r="BW2294">
            <v>90</v>
          </cell>
        </row>
        <row r="2295">
          <cell r="L2295" t="str">
            <v>WA2502STO5PI</v>
          </cell>
          <cell r="BW2295">
            <v>97</v>
          </cell>
        </row>
        <row r="2296">
          <cell r="L2296" t="str">
            <v>WA2502STO5PI</v>
          </cell>
          <cell r="BW2296">
            <v>76</v>
          </cell>
        </row>
        <row r="2297">
          <cell r="L2297" t="str">
            <v>WA2502STO5PI</v>
          </cell>
          <cell r="BW2297">
            <v>62</v>
          </cell>
        </row>
        <row r="2298">
          <cell r="L2298" t="str">
            <v>WA2502STO6BK</v>
          </cell>
          <cell r="BW2298">
            <v>13</v>
          </cell>
        </row>
        <row r="2299">
          <cell r="L2299" t="str">
            <v>WA2502STO6BK</v>
          </cell>
          <cell r="BW2299">
            <v>23</v>
          </cell>
        </row>
        <row r="2300">
          <cell r="L2300" t="str">
            <v>WA2502STO6BK</v>
          </cell>
          <cell r="BW2300">
            <v>72</v>
          </cell>
        </row>
        <row r="2301">
          <cell r="L2301" t="str">
            <v>WA2502STO6BK</v>
          </cell>
          <cell r="BW2301">
            <v>13</v>
          </cell>
        </row>
        <row r="2302">
          <cell r="L2302" t="str">
            <v>WA2502STO6BK</v>
          </cell>
          <cell r="BW2302">
            <v>2</v>
          </cell>
        </row>
        <row r="2303">
          <cell r="L2303" t="str">
            <v>WA2502STO6LG</v>
          </cell>
          <cell r="BW2303">
            <v>5</v>
          </cell>
        </row>
        <row r="2304">
          <cell r="L2304" t="str">
            <v>WA2502STO6LG</v>
          </cell>
          <cell r="BW2304">
            <v>2</v>
          </cell>
        </row>
        <row r="2305">
          <cell r="L2305" t="str">
            <v>WA2502STO6LG</v>
          </cell>
          <cell r="BW2305">
            <v>3</v>
          </cell>
        </row>
        <row r="2306">
          <cell r="L2306" t="str">
            <v>WA2502STO6LG</v>
          </cell>
          <cell r="BW2306">
            <v>7</v>
          </cell>
        </row>
        <row r="2307">
          <cell r="L2307" t="str">
            <v>WA2502STO6WH</v>
          </cell>
          <cell r="BW2307">
            <v>7</v>
          </cell>
        </row>
        <row r="2308">
          <cell r="L2308" t="str">
            <v>WA2502STO6WH</v>
          </cell>
          <cell r="BW2308">
            <v>11</v>
          </cell>
        </row>
        <row r="2309">
          <cell r="L2309" t="str">
            <v>WA2502STO6WH</v>
          </cell>
          <cell r="BW2309">
            <v>2</v>
          </cell>
        </row>
        <row r="2310">
          <cell r="L2310" t="str">
            <v>WA2502STO6WH</v>
          </cell>
          <cell r="BW2310">
            <v>49</v>
          </cell>
        </row>
        <row r="2311">
          <cell r="L2311" t="str">
            <v>WA2502STO6WH</v>
          </cell>
          <cell r="BW2311">
            <v>2</v>
          </cell>
        </row>
        <row r="2312">
          <cell r="L2312" t="str">
            <v>WA2502STO7BL</v>
          </cell>
          <cell r="BW2312">
            <v>2</v>
          </cell>
        </row>
        <row r="2313">
          <cell r="L2313" t="str">
            <v>WA2502STO7BL</v>
          </cell>
          <cell r="BW2313">
            <v>4</v>
          </cell>
        </row>
        <row r="2314">
          <cell r="L2314" t="str">
            <v>WA2502STO7BL</v>
          </cell>
          <cell r="BW2314">
            <v>2</v>
          </cell>
        </row>
        <row r="2315">
          <cell r="L2315" t="str">
            <v>WA2502STO7BL</v>
          </cell>
          <cell r="BW2315">
            <v>2</v>
          </cell>
        </row>
        <row r="2316">
          <cell r="L2316" t="str">
            <v>WA2502STO7PI</v>
          </cell>
          <cell r="BW2316">
            <v>17</v>
          </cell>
        </row>
        <row r="2317">
          <cell r="L2317" t="str">
            <v>WA2502STO7PI</v>
          </cell>
          <cell r="BW2317">
            <v>42</v>
          </cell>
        </row>
        <row r="2318">
          <cell r="L2318" t="str">
            <v>WA2502STO7PI</v>
          </cell>
          <cell r="BW2318">
            <v>0</v>
          </cell>
        </row>
        <row r="2319">
          <cell r="L2319" t="str">
            <v>WA2502STO7PI</v>
          </cell>
          <cell r="BW2319">
            <v>7</v>
          </cell>
        </row>
        <row r="2320">
          <cell r="L2320" t="str">
            <v>WA2502STS1BK</v>
          </cell>
          <cell r="BW2320">
            <v>0</v>
          </cell>
        </row>
        <row r="2321">
          <cell r="L2321" t="str">
            <v>WA2502STS1BK</v>
          </cell>
          <cell r="BW2321">
            <v>3</v>
          </cell>
        </row>
        <row r="2322">
          <cell r="L2322" t="str">
            <v>WA2502STS1WH</v>
          </cell>
          <cell r="BW2322">
            <v>7</v>
          </cell>
        </row>
        <row r="2323">
          <cell r="L2323" t="str">
            <v>WA2502STS1WH</v>
          </cell>
          <cell r="BW2323">
            <v>13</v>
          </cell>
        </row>
        <row r="2324">
          <cell r="L2324" t="str">
            <v>WA2502STS2BK</v>
          </cell>
          <cell r="BW2324">
            <v>36</v>
          </cell>
        </row>
        <row r="2325">
          <cell r="L2325" t="str">
            <v>WA2502STS2BK</v>
          </cell>
          <cell r="BW2325">
            <v>69</v>
          </cell>
        </row>
        <row r="2326">
          <cell r="L2326" t="str">
            <v>WA2502STS2LB</v>
          </cell>
          <cell r="BW2326">
            <v>4</v>
          </cell>
        </row>
        <row r="2327">
          <cell r="L2327" t="str">
            <v>WA2502STS2LB</v>
          </cell>
          <cell r="BW2327">
            <v>18</v>
          </cell>
        </row>
        <row r="2328">
          <cell r="L2328" t="str">
            <v>WA2502STS2WH</v>
          </cell>
          <cell r="BW2328">
            <v>86</v>
          </cell>
        </row>
        <row r="2329">
          <cell r="L2329" t="str">
            <v>WA2502STS2WH</v>
          </cell>
          <cell r="BW2329">
            <v>95</v>
          </cell>
        </row>
        <row r="2330">
          <cell r="L2330" t="str">
            <v>WA2502STS3GR</v>
          </cell>
          <cell r="BW2330">
            <v>42</v>
          </cell>
        </row>
        <row r="2331">
          <cell r="L2331" t="str">
            <v>WA2502STS3GR</v>
          </cell>
          <cell r="BW2331">
            <v>24</v>
          </cell>
        </row>
        <row r="2332">
          <cell r="L2332" t="str">
            <v>WA2502STS3WH</v>
          </cell>
          <cell r="BW2332">
            <v>36</v>
          </cell>
        </row>
        <row r="2333">
          <cell r="L2333" t="str">
            <v>WA2502STS3WH</v>
          </cell>
          <cell r="BW2333">
            <v>22</v>
          </cell>
        </row>
        <row r="2334">
          <cell r="L2334" t="str">
            <v>WA2502STS4BK</v>
          </cell>
          <cell r="BW2334">
            <v>3</v>
          </cell>
        </row>
        <row r="2335">
          <cell r="L2335" t="str">
            <v>WA2502STS4BK</v>
          </cell>
          <cell r="BW2335">
            <v>0</v>
          </cell>
        </row>
        <row r="2336">
          <cell r="L2336" t="str">
            <v>WA2502STS4WH</v>
          </cell>
          <cell r="BW2336">
            <v>4</v>
          </cell>
        </row>
        <row r="2337">
          <cell r="L2337" t="str">
            <v>WA2502STS4WH</v>
          </cell>
          <cell r="BW2337">
            <v>1</v>
          </cell>
        </row>
        <row r="2338">
          <cell r="L2338" t="str">
            <v>WA2502STS5BK</v>
          </cell>
          <cell r="BW2338">
            <v>75</v>
          </cell>
        </row>
        <row r="2339">
          <cell r="L2339" t="str">
            <v>WA2502STS5BK</v>
          </cell>
          <cell r="BW2339">
            <v>92</v>
          </cell>
        </row>
        <row r="2340">
          <cell r="L2340" t="str">
            <v>WA2502STS5WH</v>
          </cell>
          <cell r="BW2340">
            <v>107</v>
          </cell>
        </row>
        <row r="2341">
          <cell r="L2341" t="str">
            <v>WA2502STS5WH</v>
          </cell>
          <cell r="BW2341">
            <v>122</v>
          </cell>
        </row>
        <row r="2342">
          <cell r="L2342" t="str">
            <v>WA2502STS5YE</v>
          </cell>
          <cell r="BW2342">
            <v>10</v>
          </cell>
        </row>
        <row r="2343">
          <cell r="L2343" t="str">
            <v>WA2502STS5YE</v>
          </cell>
          <cell r="BW2343">
            <v>5</v>
          </cell>
        </row>
        <row r="2344">
          <cell r="L2344" t="str">
            <v>WA2503BG01BK</v>
          </cell>
          <cell r="BW2344">
            <v>20</v>
          </cell>
        </row>
        <row r="2345">
          <cell r="L2345" t="str">
            <v>WA2503BG01EC</v>
          </cell>
          <cell r="BW2345">
            <v>199</v>
          </cell>
        </row>
        <row r="2346">
          <cell r="L2346" t="str">
            <v>WA2503BG01IN</v>
          </cell>
          <cell r="BW2346">
            <v>2</v>
          </cell>
        </row>
        <row r="2347">
          <cell r="L2347" t="str">
            <v>WA2503BG01RD</v>
          </cell>
          <cell r="BW2347">
            <v>241</v>
          </cell>
        </row>
        <row r="2348">
          <cell r="L2348" t="str">
            <v>WA2503BG02BK</v>
          </cell>
          <cell r="BW2348">
            <v>305</v>
          </cell>
        </row>
        <row r="2349">
          <cell r="L2349" t="str">
            <v>WA2503BG02CH</v>
          </cell>
          <cell r="BW2349">
            <v>380</v>
          </cell>
        </row>
        <row r="2350">
          <cell r="L2350" t="str">
            <v>WA2503BG02PI</v>
          </cell>
          <cell r="BW2350">
            <v>302</v>
          </cell>
        </row>
        <row r="2351">
          <cell r="L2351" t="str">
            <v>WA2503BG51BK</v>
          </cell>
          <cell r="BW2351">
            <v>360</v>
          </cell>
        </row>
        <row r="2352">
          <cell r="L2352" t="str">
            <v>WA2503BG51BR</v>
          </cell>
          <cell r="BW2352">
            <v>116</v>
          </cell>
        </row>
        <row r="2353">
          <cell r="L2353" t="str">
            <v>WA2503BG52BK</v>
          </cell>
          <cell r="BW2353">
            <v>470</v>
          </cell>
        </row>
        <row r="2354">
          <cell r="L2354" t="str">
            <v>WA2503BG52BR</v>
          </cell>
          <cell r="BW2354">
            <v>537</v>
          </cell>
        </row>
        <row r="2355">
          <cell r="L2355" t="str">
            <v>WA2503BG52PI</v>
          </cell>
          <cell r="BW2355">
            <v>440</v>
          </cell>
        </row>
        <row r="2356">
          <cell r="L2356" t="str">
            <v>WA2503BG53BK</v>
          </cell>
          <cell r="BW2356">
            <v>681</v>
          </cell>
        </row>
        <row r="2357">
          <cell r="L2357" t="str">
            <v>WA2503BG53IV</v>
          </cell>
          <cell r="BW2357">
            <v>421</v>
          </cell>
        </row>
        <row r="2358">
          <cell r="L2358" t="str">
            <v>WA2503BG54BK</v>
          </cell>
          <cell r="BW2358">
            <v>401</v>
          </cell>
        </row>
        <row r="2359">
          <cell r="L2359" t="str">
            <v>WA2503BG54IV</v>
          </cell>
          <cell r="BW2359">
            <v>308</v>
          </cell>
        </row>
        <row r="2360">
          <cell r="L2360" t="str">
            <v>WA2503BG54SB</v>
          </cell>
          <cell r="BW2360">
            <v>232</v>
          </cell>
        </row>
        <row r="2361">
          <cell r="L2361" t="str">
            <v>WA2503BG55BK</v>
          </cell>
          <cell r="BW2361">
            <v>530</v>
          </cell>
        </row>
        <row r="2362">
          <cell r="L2362" t="str">
            <v>WA2503BG55IV</v>
          </cell>
          <cell r="BW2362">
            <v>510</v>
          </cell>
        </row>
        <row r="2363">
          <cell r="L2363" t="str">
            <v>WA2503BG55PI</v>
          </cell>
          <cell r="BW2363">
            <v>361</v>
          </cell>
        </row>
        <row r="2364">
          <cell r="L2364" t="str">
            <v>WA2503BP01BK</v>
          </cell>
          <cell r="BW2364">
            <v>368</v>
          </cell>
        </row>
        <row r="2365">
          <cell r="L2365" t="str">
            <v>WA2503BP01KH</v>
          </cell>
          <cell r="BW2365">
            <v>194</v>
          </cell>
        </row>
        <row r="2366">
          <cell r="L2366" t="str">
            <v>WA2503BP51BK</v>
          </cell>
          <cell r="BW2366">
            <v>430</v>
          </cell>
        </row>
        <row r="2367">
          <cell r="L2367" t="str">
            <v>WA2503BP51BR</v>
          </cell>
          <cell r="BW2367">
            <v>116</v>
          </cell>
        </row>
        <row r="2368">
          <cell r="L2368" t="str">
            <v>WA2503BP51IV</v>
          </cell>
          <cell r="BW2368">
            <v>148</v>
          </cell>
        </row>
        <row r="2369">
          <cell r="L2369" t="str">
            <v>WA2503BP52BK</v>
          </cell>
          <cell r="BW2369">
            <v>90</v>
          </cell>
        </row>
        <row r="2370">
          <cell r="L2370" t="str">
            <v>WA2503BP52IV</v>
          </cell>
          <cell r="BW2370">
            <v>74</v>
          </cell>
        </row>
        <row r="2371">
          <cell r="L2371" t="str">
            <v>WA2503CA01BE</v>
          </cell>
          <cell r="BW2371">
            <v>183</v>
          </cell>
        </row>
        <row r="2372">
          <cell r="L2372" t="str">
            <v>WA2503CA01BL</v>
          </cell>
          <cell r="BW2372">
            <v>3</v>
          </cell>
        </row>
        <row r="2373">
          <cell r="L2373" t="str">
            <v>WA2503CA01BR</v>
          </cell>
          <cell r="BW2373">
            <v>2</v>
          </cell>
        </row>
        <row r="2374">
          <cell r="L2374" t="str">
            <v>WA2503CA01CH</v>
          </cell>
          <cell r="BW2374">
            <v>10</v>
          </cell>
        </row>
        <row r="2375">
          <cell r="L2375" t="str">
            <v>WA2503CA01GN</v>
          </cell>
          <cell r="BW2375">
            <v>33</v>
          </cell>
        </row>
        <row r="2376">
          <cell r="L2376" t="str">
            <v>WA2503CA02BK</v>
          </cell>
          <cell r="BW2376">
            <v>376</v>
          </cell>
        </row>
        <row r="2377">
          <cell r="L2377" t="str">
            <v>WA2503CA02KH</v>
          </cell>
          <cell r="BW2377">
            <v>365</v>
          </cell>
        </row>
        <row r="2378">
          <cell r="L2378" t="str">
            <v>WA2503CA02NA</v>
          </cell>
          <cell r="BW2378">
            <v>356</v>
          </cell>
        </row>
        <row r="2379">
          <cell r="L2379" t="str">
            <v>WA2503CA03BR</v>
          </cell>
          <cell r="BW2379">
            <v>344</v>
          </cell>
        </row>
        <row r="2380">
          <cell r="L2380" t="str">
            <v>WA2503CA03KH</v>
          </cell>
          <cell r="BW2380">
            <v>422</v>
          </cell>
        </row>
        <row r="2381">
          <cell r="L2381" t="str">
            <v>WA2503CA04KH</v>
          </cell>
          <cell r="BW2381">
            <v>209</v>
          </cell>
        </row>
        <row r="2382">
          <cell r="L2382" t="str">
            <v>WA2503CA04NA</v>
          </cell>
          <cell r="BW2382">
            <v>177</v>
          </cell>
        </row>
        <row r="2383">
          <cell r="L2383" t="str">
            <v>WA2503CA05BU</v>
          </cell>
          <cell r="BW2383">
            <v>369</v>
          </cell>
        </row>
        <row r="2384">
          <cell r="L2384" t="str">
            <v>WA2503CA05IV</v>
          </cell>
          <cell r="BW2384">
            <v>291</v>
          </cell>
        </row>
        <row r="2385">
          <cell r="L2385" t="str">
            <v>WA2503CA05NA</v>
          </cell>
          <cell r="BW2385">
            <v>346</v>
          </cell>
        </row>
        <row r="2386">
          <cell r="L2386" t="str">
            <v>WA2503CA06BR</v>
          </cell>
          <cell r="BW2386">
            <v>301</v>
          </cell>
        </row>
        <row r="2387">
          <cell r="L2387" t="str">
            <v>WA2503CA06IV</v>
          </cell>
          <cell r="BW2387">
            <v>436</v>
          </cell>
        </row>
        <row r="2388">
          <cell r="L2388" t="str">
            <v>WA2503CA06NA</v>
          </cell>
          <cell r="BW2388">
            <v>362</v>
          </cell>
        </row>
        <row r="2389">
          <cell r="L2389" t="str">
            <v>WA2503CA07BK</v>
          </cell>
          <cell r="BW2389">
            <v>188</v>
          </cell>
        </row>
        <row r="2390">
          <cell r="L2390" t="str">
            <v>WA2503CA07BR</v>
          </cell>
          <cell r="BW2390">
            <v>182</v>
          </cell>
        </row>
        <row r="2391">
          <cell r="L2391" t="str">
            <v>WA2503CA09BE</v>
          </cell>
          <cell r="BW2391">
            <v>22</v>
          </cell>
        </row>
        <row r="2392">
          <cell r="L2392" t="str">
            <v>WA2503CA09IV</v>
          </cell>
          <cell r="BW2392">
            <v>166</v>
          </cell>
        </row>
        <row r="2393">
          <cell r="L2393" t="str">
            <v>WA2503CA09PU</v>
          </cell>
          <cell r="BW2393">
            <v>36</v>
          </cell>
        </row>
        <row r="2394">
          <cell r="L2394" t="str">
            <v>WA2503CA10BK</v>
          </cell>
          <cell r="BW2394">
            <v>204</v>
          </cell>
        </row>
        <row r="2395">
          <cell r="L2395" t="str">
            <v>WA2503CA10GR</v>
          </cell>
          <cell r="BW2395">
            <v>219</v>
          </cell>
        </row>
        <row r="2396">
          <cell r="L2396" t="str">
            <v>WA2503CA10IV</v>
          </cell>
          <cell r="BW2396">
            <v>442</v>
          </cell>
        </row>
        <row r="2397">
          <cell r="L2397" t="str">
            <v>WA2503CA10NA</v>
          </cell>
          <cell r="BW2397">
            <v>314</v>
          </cell>
        </row>
        <row r="2398">
          <cell r="L2398" t="str">
            <v>WA2503CA11BK</v>
          </cell>
          <cell r="BW2398">
            <v>96</v>
          </cell>
        </row>
        <row r="2399">
          <cell r="L2399" t="str">
            <v>WA2503CA11BR</v>
          </cell>
          <cell r="BW2399">
            <v>120</v>
          </cell>
        </row>
        <row r="2400">
          <cell r="L2400" t="str">
            <v>WA2503CA12BK</v>
          </cell>
          <cell r="BW2400">
            <v>19</v>
          </cell>
        </row>
        <row r="2401">
          <cell r="L2401" t="str">
            <v>WA2503CA12IV</v>
          </cell>
          <cell r="BW2401">
            <v>84</v>
          </cell>
        </row>
        <row r="2402">
          <cell r="L2402" t="str">
            <v>WA2503CA13BL</v>
          </cell>
          <cell r="BW2402">
            <v>354</v>
          </cell>
        </row>
        <row r="2403">
          <cell r="L2403" t="str">
            <v>WA2503CA13BR</v>
          </cell>
          <cell r="BW2403">
            <v>322</v>
          </cell>
        </row>
        <row r="2404">
          <cell r="L2404" t="str">
            <v>WA2503CA14LV</v>
          </cell>
          <cell r="BW2404">
            <v>122</v>
          </cell>
        </row>
        <row r="2405">
          <cell r="L2405" t="str">
            <v>WA2503CA14NA</v>
          </cell>
          <cell r="BW2405">
            <v>166</v>
          </cell>
        </row>
        <row r="2406">
          <cell r="L2406" t="str">
            <v>WA2503CA15CH</v>
          </cell>
          <cell r="BW2406">
            <v>125</v>
          </cell>
        </row>
        <row r="2407">
          <cell r="L2407" t="str">
            <v>WA2503CA15IV</v>
          </cell>
          <cell r="BW2407">
            <v>75</v>
          </cell>
        </row>
        <row r="2408">
          <cell r="L2408" t="str">
            <v>WA2503CA15PI</v>
          </cell>
          <cell r="BW2408">
            <v>212</v>
          </cell>
        </row>
        <row r="2409">
          <cell r="L2409" t="str">
            <v>WA2503CA15SB</v>
          </cell>
          <cell r="BW2409">
            <v>103</v>
          </cell>
        </row>
        <row r="2410">
          <cell r="L2410" t="str">
            <v>WA2503CA16BK</v>
          </cell>
          <cell r="BW2410">
            <v>72</v>
          </cell>
        </row>
        <row r="2411">
          <cell r="L2411" t="str">
            <v>WA2503CA16SB</v>
          </cell>
          <cell r="BW2411">
            <v>350</v>
          </cell>
        </row>
        <row r="2412">
          <cell r="L2412" t="str">
            <v>WA2503CA17BE</v>
          </cell>
          <cell r="BW2412">
            <v>108</v>
          </cell>
        </row>
        <row r="2413">
          <cell r="L2413" t="str">
            <v>WA2503CA17GR</v>
          </cell>
          <cell r="BW2413">
            <v>62</v>
          </cell>
        </row>
        <row r="2414">
          <cell r="L2414" t="str">
            <v>WA2503CA17IV</v>
          </cell>
          <cell r="BW2414">
            <v>104</v>
          </cell>
        </row>
        <row r="2415">
          <cell r="L2415" t="str">
            <v>WA2503CA18BK</v>
          </cell>
          <cell r="BW2415">
            <v>225</v>
          </cell>
        </row>
        <row r="2416">
          <cell r="L2416" t="str">
            <v>WA2503CA18IV</v>
          </cell>
          <cell r="BW2416">
            <v>467</v>
          </cell>
        </row>
        <row r="2417">
          <cell r="L2417" t="str">
            <v>WA2503CA19BK</v>
          </cell>
          <cell r="BW2417">
            <v>45</v>
          </cell>
        </row>
        <row r="2418">
          <cell r="L2418" t="str">
            <v>WA2503CA20BK</v>
          </cell>
          <cell r="BW2418">
            <v>98</v>
          </cell>
        </row>
        <row r="2419">
          <cell r="L2419" t="str">
            <v>WA2503CA20GR</v>
          </cell>
          <cell r="BW2419">
            <v>83</v>
          </cell>
        </row>
        <row r="2420">
          <cell r="L2420" t="str">
            <v>WA2503CA20KH</v>
          </cell>
          <cell r="BW2420">
            <v>26</v>
          </cell>
        </row>
        <row r="2421">
          <cell r="L2421" t="str">
            <v>WA2503CAI1BK</v>
          </cell>
          <cell r="BW2421">
            <v>0</v>
          </cell>
        </row>
        <row r="2422">
          <cell r="L2422" t="str">
            <v>WA2503CAI2WH</v>
          </cell>
          <cell r="BW2422">
            <v>0</v>
          </cell>
        </row>
        <row r="2423">
          <cell r="L2423" t="str">
            <v>WA2503CB01BK</v>
          </cell>
          <cell r="BW2423">
            <v>189</v>
          </cell>
        </row>
        <row r="2424">
          <cell r="L2424" t="str">
            <v>WA2503CB02BK</v>
          </cell>
          <cell r="BW2424">
            <v>396</v>
          </cell>
        </row>
        <row r="2425">
          <cell r="L2425" t="str">
            <v>WA2503CB02KH</v>
          </cell>
          <cell r="BW2425">
            <v>101</v>
          </cell>
        </row>
        <row r="2426">
          <cell r="L2426" t="str">
            <v>WA2503CD01BK</v>
          </cell>
          <cell r="BW2426">
            <v>206</v>
          </cell>
        </row>
        <row r="2427">
          <cell r="L2427" t="str">
            <v>WA2503CD01BK</v>
          </cell>
          <cell r="BW2427">
            <v>152</v>
          </cell>
        </row>
        <row r="2428">
          <cell r="L2428" t="str">
            <v>WA2503CD01BK</v>
          </cell>
          <cell r="BW2428">
            <v>97</v>
          </cell>
        </row>
        <row r="2429">
          <cell r="L2429" t="str">
            <v>WA2503CD01BK</v>
          </cell>
          <cell r="BW2429">
            <v>148</v>
          </cell>
        </row>
        <row r="2430">
          <cell r="L2430" t="str">
            <v>WA2503CD01GR</v>
          </cell>
          <cell r="BW2430">
            <v>201</v>
          </cell>
        </row>
        <row r="2431">
          <cell r="L2431" t="str">
            <v>WA2503CD01GR</v>
          </cell>
          <cell r="BW2431">
            <v>197</v>
          </cell>
        </row>
        <row r="2432">
          <cell r="L2432" t="str">
            <v>WA2503CD01GR</v>
          </cell>
          <cell r="BW2432">
            <v>111</v>
          </cell>
        </row>
        <row r="2433">
          <cell r="L2433" t="str">
            <v>WA2503CD01GR</v>
          </cell>
          <cell r="BW2433">
            <v>137</v>
          </cell>
        </row>
        <row r="2434">
          <cell r="L2434" t="str">
            <v>WA2503CD01LK</v>
          </cell>
          <cell r="BW2434">
            <v>125</v>
          </cell>
        </row>
        <row r="2435">
          <cell r="L2435" t="str">
            <v>WA2503CD01LK</v>
          </cell>
          <cell r="BW2435">
            <v>119</v>
          </cell>
        </row>
        <row r="2436">
          <cell r="L2436" t="str">
            <v>WA2503CD01LK</v>
          </cell>
          <cell r="BW2436">
            <v>128</v>
          </cell>
        </row>
        <row r="2437">
          <cell r="L2437" t="str">
            <v>WA2503CD01LK</v>
          </cell>
          <cell r="BW2437">
            <v>103</v>
          </cell>
        </row>
        <row r="2438">
          <cell r="L2438" t="str">
            <v>WA2503CD02BE</v>
          </cell>
          <cell r="BW2438">
            <v>44</v>
          </cell>
        </row>
        <row r="2439">
          <cell r="L2439" t="str">
            <v>WA2503CD02BE</v>
          </cell>
          <cell r="BW2439">
            <v>96</v>
          </cell>
        </row>
        <row r="2440">
          <cell r="L2440" t="str">
            <v>WA2503CD02BE</v>
          </cell>
          <cell r="BW2440">
            <v>166</v>
          </cell>
        </row>
        <row r="2441">
          <cell r="L2441" t="str">
            <v>WA2503CD02BE</v>
          </cell>
          <cell r="BW2441">
            <v>33</v>
          </cell>
        </row>
        <row r="2442">
          <cell r="L2442" t="str">
            <v>WA2503CD02BK</v>
          </cell>
          <cell r="BW2442">
            <v>133</v>
          </cell>
        </row>
        <row r="2443">
          <cell r="L2443" t="str">
            <v>WA2503CD02BK</v>
          </cell>
          <cell r="BW2443">
            <v>139</v>
          </cell>
        </row>
        <row r="2444">
          <cell r="L2444" t="str">
            <v>WA2503CD02BK</v>
          </cell>
          <cell r="BW2444">
            <v>211</v>
          </cell>
        </row>
        <row r="2445">
          <cell r="L2445" t="str">
            <v>WA2503CD02BK</v>
          </cell>
          <cell r="BW2445">
            <v>84</v>
          </cell>
        </row>
        <row r="2446">
          <cell r="L2446" t="str">
            <v>WA2503CD02CH</v>
          </cell>
          <cell r="BW2446">
            <v>54</v>
          </cell>
        </row>
        <row r="2447">
          <cell r="L2447" t="str">
            <v>WA2503CD02CH</v>
          </cell>
          <cell r="BW2447">
            <v>69</v>
          </cell>
        </row>
        <row r="2448">
          <cell r="L2448" t="str">
            <v>WA2503CD02CH</v>
          </cell>
          <cell r="BW2448">
            <v>98</v>
          </cell>
        </row>
        <row r="2449">
          <cell r="L2449" t="str">
            <v>WA2503CD02CH</v>
          </cell>
          <cell r="BW2449">
            <v>43</v>
          </cell>
        </row>
        <row r="2450">
          <cell r="L2450" t="str">
            <v>WA2503CD11CM</v>
          </cell>
          <cell r="BW2450">
            <v>63</v>
          </cell>
        </row>
        <row r="2451">
          <cell r="L2451" t="str">
            <v>WA2503CD11CM</v>
          </cell>
          <cell r="BW2451">
            <v>125</v>
          </cell>
        </row>
        <row r="2452">
          <cell r="L2452" t="str">
            <v>WA2503CD11CM</v>
          </cell>
          <cell r="BW2452">
            <v>113</v>
          </cell>
        </row>
        <row r="2453">
          <cell r="L2453" t="str">
            <v>WA2503CD11CM</v>
          </cell>
          <cell r="BW2453">
            <v>56</v>
          </cell>
        </row>
        <row r="2454">
          <cell r="L2454" t="str">
            <v>WA2503CD11NA</v>
          </cell>
          <cell r="BW2454">
            <v>91</v>
          </cell>
        </row>
        <row r="2455">
          <cell r="L2455" t="str">
            <v>WA2503CD11NA</v>
          </cell>
          <cell r="BW2455">
            <v>138</v>
          </cell>
        </row>
        <row r="2456">
          <cell r="L2456" t="str">
            <v>WA2503CD11NA</v>
          </cell>
          <cell r="BW2456">
            <v>154</v>
          </cell>
        </row>
        <row r="2457">
          <cell r="L2457" t="str">
            <v>WA2503CD11NA</v>
          </cell>
          <cell r="BW2457">
            <v>78</v>
          </cell>
        </row>
        <row r="2458">
          <cell r="L2458" t="str">
            <v>WA2503CD12BK</v>
          </cell>
          <cell r="BW2458">
            <v>106</v>
          </cell>
        </row>
        <row r="2459">
          <cell r="L2459" t="str">
            <v>WA2503CD12BK</v>
          </cell>
          <cell r="BW2459">
            <v>138</v>
          </cell>
        </row>
        <row r="2460">
          <cell r="L2460" t="str">
            <v>WA2503CD12BK</v>
          </cell>
          <cell r="BW2460">
            <v>153</v>
          </cell>
        </row>
        <row r="2461">
          <cell r="L2461" t="str">
            <v>WA2503CD12BK</v>
          </cell>
          <cell r="BW2461">
            <v>72</v>
          </cell>
        </row>
        <row r="2462">
          <cell r="L2462" t="str">
            <v>WA2503CD12CM</v>
          </cell>
          <cell r="BW2462">
            <v>50</v>
          </cell>
        </row>
        <row r="2463">
          <cell r="L2463" t="str">
            <v>WA2503CD12CM</v>
          </cell>
          <cell r="BW2463">
            <v>63</v>
          </cell>
        </row>
        <row r="2464">
          <cell r="L2464" t="str">
            <v>WA2503CD12CM</v>
          </cell>
          <cell r="BW2464">
            <v>53</v>
          </cell>
        </row>
        <row r="2465">
          <cell r="L2465" t="str">
            <v>WA2503CD12CM</v>
          </cell>
          <cell r="BW2465">
            <v>23</v>
          </cell>
        </row>
        <row r="2466">
          <cell r="L2466" t="str">
            <v>WA2503CD51BR</v>
          </cell>
          <cell r="BW2466">
            <v>18</v>
          </cell>
        </row>
        <row r="2467">
          <cell r="L2467" t="str">
            <v>WA2503CD51BR</v>
          </cell>
          <cell r="BW2467">
            <v>36</v>
          </cell>
        </row>
        <row r="2468">
          <cell r="L2468" t="str">
            <v>WA2503CD51CM</v>
          </cell>
          <cell r="BW2468">
            <v>44</v>
          </cell>
        </row>
        <row r="2469">
          <cell r="L2469" t="str">
            <v>WA2503CD51CM</v>
          </cell>
          <cell r="BW2469">
            <v>24</v>
          </cell>
        </row>
        <row r="2470">
          <cell r="L2470" t="str">
            <v>WA2503CD51DN</v>
          </cell>
          <cell r="BW2470">
            <v>118</v>
          </cell>
        </row>
        <row r="2471">
          <cell r="L2471" t="str">
            <v>WA2503CD51DN</v>
          </cell>
          <cell r="BW2471">
            <v>59</v>
          </cell>
        </row>
        <row r="2472">
          <cell r="L2472" t="str">
            <v>WA2503CD51GR</v>
          </cell>
          <cell r="BW2472">
            <v>34</v>
          </cell>
        </row>
        <row r="2473">
          <cell r="L2473" t="str">
            <v>WA2503CD51GR</v>
          </cell>
          <cell r="BW2473">
            <v>64</v>
          </cell>
        </row>
        <row r="2474">
          <cell r="L2474" t="str">
            <v>WA2503CD61CM</v>
          </cell>
          <cell r="BW2474">
            <v>34</v>
          </cell>
        </row>
        <row r="2475">
          <cell r="L2475" t="str">
            <v>WA2503CD61CM</v>
          </cell>
          <cell r="BW2475">
            <v>9</v>
          </cell>
        </row>
        <row r="2476">
          <cell r="L2476" t="str">
            <v>WA2503CD61GR</v>
          </cell>
          <cell r="BW2476">
            <v>57</v>
          </cell>
        </row>
        <row r="2477">
          <cell r="L2477" t="str">
            <v>WA2503CD61GR</v>
          </cell>
          <cell r="BW2477">
            <v>51</v>
          </cell>
        </row>
        <row r="2478">
          <cell r="L2478" t="str">
            <v>WA2503CR01BK</v>
          </cell>
          <cell r="BW2478">
            <v>201</v>
          </cell>
        </row>
        <row r="2479">
          <cell r="L2479" t="str">
            <v>WA2503CR01BK</v>
          </cell>
          <cell r="BW2479">
            <v>580</v>
          </cell>
        </row>
        <row r="2480">
          <cell r="L2480" t="str">
            <v>WA2503CR01BK</v>
          </cell>
          <cell r="BW2480">
            <v>807</v>
          </cell>
        </row>
        <row r="2481">
          <cell r="L2481" t="str">
            <v>WA2503CR01BK</v>
          </cell>
          <cell r="BW2481">
            <v>94</v>
          </cell>
        </row>
        <row r="2482">
          <cell r="L2482" t="str">
            <v>WA2503CR01BK</v>
          </cell>
          <cell r="BW2482">
            <v>36</v>
          </cell>
        </row>
        <row r="2483">
          <cell r="L2483" t="str">
            <v>WA2503CR01BK</v>
          </cell>
          <cell r="BW2483">
            <v>13</v>
          </cell>
        </row>
        <row r="2484">
          <cell r="L2484" t="str">
            <v>WA2503CR01BU</v>
          </cell>
          <cell r="BW2484">
            <v>65</v>
          </cell>
        </row>
        <row r="2485">
          <cell r="L2485" t="str">
            <v>WA2503CR01BU</v>
          </cell>
          <cell r="BW2485">
            <v>97</v>
          </cell>
        </row>
        <row r="2486">
          <cell r="L2486" t="str">
            <v>WA2503CR01BU</v>
          </cell>
          <cell r="BW2486">
            <v>87</v>
          </cell>
        </row>
        <row r="2487">
          <cell r="L2487" t="str">
            <v>WA2503CR01BU</v>
          </cell>
          <cell r="BW2487">
            <v>30</v>
          </cell>
        </row>
        <row r="2488">
          <cell r="L2488" t="str">
            <v>WA2503CR01GR</v>
          </cell>
          <cell r="BW2488">
            <v>94</v>
          </cell>
        </row>
        <row r="2489">
          <cell r="L2489" t="str">
            <v>WA2503CR01GR</v>
          </cell>
          <cell r="BW2489">
            <v>241</v>
          </cell>
        </row>
        <row r="2490">
          <cell r="L2490" t="str">
            <v>WA2503CR01GR</v>
          </cell>
          <cell r="BW2490">
            <v>500</v>
          </cell>
        </row>
        <row r="2491">
          <cell r="L2491" t="str">
            <v>WA2503CR01GR</v>
          </cell>
          <cell r="BW2491">
            <v>76</v>
          </cell>
        </row>
        <row r="2492">
          <cell r="L2492" t="str">
            <v>WA2503CR01GR</v>
          </cell>
          <cell r="BW2492">
            <v>47</v>
          </cell>
        </row>
        <row r="2493">
          <cell r="L2493" t="str">
            <v>WA2503CR01GR</v>
          </cell>
          <cell r="BW2493">
            <v>27</v>
          </cell>
        </row>
        <row r="2494">
          <cell r="L2494" t="str">
            <v>WA2503CR01LG</v>
          </cell>
          <cell r="BW2494">
            <v>433</v>
          </cell>
        </row>
        <row r="2495">
          <cell r="L2495" t="str">
            <v>WA2503CR01LG</v>
          </cell>
          <cell r="BW2495">
            <v>633</v>
          </cell>
        </row>
        <row r="2496">
          <cell r="L2496" t="str">
            <v>WA2503CR01LG</v>
          </cell>
          <cell r="BW2496">
            <v>846</v>
          </cell>
        </row>
        <row r="2497">
          <cell r="L2497" t="str">
            <v>WA2503CR01LG</v>
          </cell>
          <cell r="BW2497">
            <v>326</v>
          </cell>
        </row>
        <row r="2498">
          <cell r="L2498" t="str">
            <v>WA2503CR01LG</v>
          </cell>
          <cell r="BW2498">
            <v>49</v>
          </cell>
        </row>
        <row r="2499">
          <cell r="L2499" t="str">
            <v>WA2503CR01LG</v>
          </cell>
          <cell r="BW2499">
            <v>53</v>
          </cell>
        </row>
        <row r="2500">
          <cell r="L2500" t="str">
            <v>WA2503CR01LK</v>
          </cell>
          <cell r="BW2500">
            <v>137</v>
          </cell>
        </row>
        <row r="2501">
          <cell r="L2501" t="str">
            <v>WA2503CR01LK</v>
          </cell>
          <cell r="BW2501">
            <v>191</v>
          </cell>
        </row>
        <row r="2502">
          <cell r="L2502" t="str">
            <v>WA2503CR01LK</v>
          </cell>
          <cell r="BW2502">
            <v>307</v>
          </cell>
        </row>
        <row r="2503">
          <cell r="L2503" t="str">
            <v>WA2503CR01LK</v>
          </cell>
          <cell r="BW2503">
            <v>62</v>
          </cell>
        </row>
        <row r="2504">
          <cell r="L2504" t="str">
            <v>WA2503CR01YE</v>
          </cell>
          <cell r="BW2504">
            <v>51</v>
          </cell>
        </row>
        <row r="2505">
          <cell r="L2505" t="str">
            <v>WA2503CR01YE</v>
          </cell>
          <cell r="BW2505">
            <v>61</v>
          </cell>
        </row>
        <row r="2506">
          <cell r="L2506" t="str">
            <v>WA2503CR01YE</v>
          </cell>
          <cell r="BW2506">
            <v>95</v>
          </cell>
        </row>
        <row r="2507">
          <cell r="L2507" t="str">
            <v>WA2503CR01YE</v>
          </cell>
          <cell r="BW2507">
            <v>30</v>
          </cell>
        </row>
        <row r="2508">
          <cell r="L2508" t="str">
            <v>WA2503CR02BK</v>
          </cell>
          <cell r="BW2508">
            <v>188</v>
          </cell>
        </row>
        <row r="2509">
          <cell r="L2509" t="str">
            <v>WA2503CR02BK</v>
          </cell>
          <cell r="BW2509">
            <v>219</v>
          </cell>
        </row>
        <row r="2510">
          <cell r="L2510" t="str">
            <v>WA2503CR02BK</v>
          </cell>
          <cell r="BW2510">
            <v>275</v>
          </cell>
        </row>
        <row r="2511">
          <cell r="L2511" t="str">
            <v>WA2503CR02BK</v>
          </cell>
          <cell r="BW2511">
            <v>117</v>
          </cell>
        </row>
        <row r="2512">
          <cell r="L2512" t="str">
            <v>WA2503CR02BK</v>
          </cell>
          <cell r="BW2512">
            <v>56</v>
          </cell>
        </row>
        <row r="2513">
          <cell r="L2513" t="str">
            <v>WA2503CR02GN</v>
          </cell>
          <cell r="BW2513">
            <v>72</v>
          </cell>
        </row>
        <row r="2514">
          <cell r="L2514" t="str">
            <v>WA2503CR02GN</v>
          </cell>
          <cell r="BW2514">
            <v>125</v>
          </cell>
        </row>
        <row r="2515">
          <cell r="L2515" t="str">
            <v>WA2503CR02GN</v>
          </cell>
          <cell r="BW2515">
            <v>157</v>
          </cell>
        </row>
        <row r="2516">
          <cell r="L2516" t="str">
            <v>WA2503CR02GN</v>
          </cell>
          <cell r="BW2516">
            <v>59</v>
          </cell>
        </row>
        <row r="2517">
          <cell r="L2517" t="str">
            <v>WA2503CR02LG</v>
          </cell>
          <cell r="BW2517">
            <v>253</v>
          </cell>
        </row>
        <row r="2518">
          <cell r="L2518" t="str">
            <v>WA2503CR02LG</v>
          </cell>
          <cell r="BW2518">
            <v>347</v>
          </cell>
        </row>
        <row r="2519">
          <cell r="L2519" t="str">
            <v>WA2503CR02LG</v>
          </cell>
          <cell r="BW2519">
            <v>371</v>
          </cell>
        </row>
        <row r="2520">
          <cell r="L2520" t="str">
            <v>WA2503CR02LG</v>
          </cell>
          <cell r="BW2520">
            <v>104</v>
          </cell>
        </row>
        <row r="2521">
          <cell r="L2521" t="str">
            <v>WA2503CR02LG</v>
          </cell>
          <cell r="BW2521">
            <v>86</v>
          </cell>
        </row>
        <row r="2522">
          <cell r="L2522" t="str">
            <v>WA2503CR11CM</v>
          </cell>
          <cell r="BW2522">
            <v>138</v>
          </cell>
        </row>
        <row r="2523">
          <cell r="L2523" t="str">
            <v>WA2503CR11CM</v>
          </cell>
          <cell r="BW2523">
            <v>179</v>
          </cell>
        </row>
        <row r="2524">
          <cell r="L2524" t="str">
            <v>WA2503CR11CM</v>
          </cell>
          <cell r="BW2524">
            <v>206</v>
          </cell>
        </row>
        <row r="2525">
          <cell r="L2525" t="str">
            <v>WA2503CR11CM</v>
          </cell>
          <cell r="BW2525">
            <v>85</v>
          </cell>
        </row>
        <row r="2526">
          <cell r="L2526" t="str">
            <v>WA2503CR11NA</v>
          </cell>
          <cell r="BW2526">
            <v>109</v>
          </cell>
        </row>
        <row r="2527">
          <cell r="L2527" t="str">
            <v>WA2503CR11NA</v>
          </cell>
          <cell r="BW2527">
            <v>131</v>
          </cell>
        </row>
        <row r="2528">
          <cell r="L2528" t="str">
            <v>WA2503CR11NA</v>
          </cell>
          <cell r="BW2528">
            <v>147</v>
          </cell>
        </row>
        <row r="2529">
          <cell r="L2529" t="str">
            <v>WA2503CR11NA</v>
          </cell>
          <cell r="BW2529">
            <v>88</v>
          </cell>
        </row>
        <row r="2530">
          <cell r="L2530" t="str">
            <v>WA2503CR12BK</v>
          </cell>
          <cell r="BW2530">
            <v>277</v>
          </cell>
        </row>
        <row r="2531">
          <cell r="L2531" t="str">
            <v>WA2503CR12BK</v>
          </cell>
          <cell r="BW2531">
            <v>322</v>
          </cell>
        </row>
        <row r="2532">
          <cell r="L2532" t="str">
            <v>WA2503CR12BK</v>
          </cell>
          <cell r="BW2532">
            <v>298</v>
          </cell>
        </row>
        <row r="2533">
          <cell r="L2533" t="str">
            <v>WA2503CR12BK</v>
          </cell>
          <cell r="BW2533">
            <v>239</v>
          </cell>
        </row>
        <row r="2534">
          <cell r="L2534" t="str">
            <v>WA2503CR12CM</v>
          </cell>
          <cell r="BW2534">
            <v>134</v>
          </cell>
        </row>
        <row r="2535">
          <cell r="L2535" t="str">
            <v>WA2503CR12CM</v>
          </cell>
          <cell r="BW2535">
            <v>204</v>
          </cell>
        </row>
        <row r="2536">
          <cell r="L2536" t="str">
            <v>WA2503CR12CM</v>
          </cell>
          <cell r="BW2536">
            <v>196</v>
          </cell>
        </row>
        <row r="2537">
          <cell r="L2537" t="str">
            <v>WA2503CR12CM</v>
          </cell>
          <cell r="BW2537">
            <v>72</v>
          </cell>
        </row>
        <row r="2538">
          <cell r="L2538" t="str">
            <v>WA2503CR12LG</v>
          </cell>
          <cell r="BW2538">
            <v>130</v>
          </cell>
        </row>
        <row r="2539">
          <cell r="L2539" t="str">
            <v>WA2503CR12LG</v>
          </cell>
          <cell r="BW2539">
            <v>118</v>
          </cell>
        </row>
        <row r="2540">
          <cell r="L2540" t="str">
            <v>WA2503CR12LG</v>
          </cell>
          <cell r="BW2540">
            <v>270</v>
          </cell>
        </row>
        <row r="2541">
          <cell r="L2541" t="str">
            <v>WA2503CR12LG</v>
          </cell>
          <cell r="BW2541">
            <v>72</v>
          </cell>
        </row>
        <row r="2542">
          <cell r="L2542" t="str">
            <v>WA2503CR12LG</v>
          </cell>
          <cell r="BW2542">
            <v>87</v>
          </cell>
        </row>
        <row r="2543">
          <cell r="L2543" t="str">
            <v>WA2503CR13BL</v>
          </cell>
          <cell r="BW2543">
            <v>108</v>
          </cell>
        </row>
        <row r="2544">
          <cell r="L2544" t="str">
            <v>WA2503CR13BL</v>
          </cell>
          <cell r="BW2544">
            <v>111</v>
          </cell>
        </row>
        <row r="2545">
          <cell r="L2545" t="str">
            <v>WA2503CR13BL</v>
          </cell>
          <cell r="BW2545">
            <v>133</v>
          </cell>
        </row>
        <row r="2546">
          <cell r="L2546" t="str">
            <v>WA2503CR13BL</v>
          </cell>
          <cell r="BW2546">
            <v>77</v>
          </cell>
        </row>
        <row r="2547">
          <cell r="L2547" t="str">
            <v>WA2503CR13CH</v>
          </cell>
          <cell r="BW2547">
            <v>207</v>
          </cell>
        </row>
        <row r="2548">
          <cell r="L2548" t="str">
            <v>WA2503CR13CH</v>
          </cell>
          <cell r="BW2548">
            <v>361</v>
          </cell>
        </row>
        <row r="2549">
          <cell r="L2549" t="str">
            <v>WA2503CR13CH</v>
          </cell>
          <cell r="BW2549">
            <v>390</v>
          </cell>
        </row>
        <row r="2550">
          <cell r="L2550" t="str">
            <v>WA2503CR13CH</v>
          </cell>
          <cell r="BW2550">
            <v>99</v>
          </cell>
        </row>
        <row r="2551">
          <cell r="L2551" t="str">
            <v>WA2503CR13CH</v>
          </cell>
          <cell r="BW2551">
            <v>109</v>
          </cell>
        </row>
        <row r="2552">
          <cell r="L2552" t="str">
            <v>WA2503CR14BL</v>
          </cell>
          <cell r="BW2552">
            <v>72</v>
          </cell>
        </row>
        <row r="2553">
          <cell r="L2553" t="str">
            <v>WA2503CR14BL</v>
          </cell>
          <cell r="BW2553">
            <v>79</v>
          </cell>
        </row>
        <row r="2554">
          <cell r="L2554" t="str">
            <v>WA2503CR14BL</v>
          </cell>
          <cell r="BW2554">
            <v>79</v>
          </cell>
        </row>
        <row r="2555">
          <cell r="L2555" t="str">
            <v>WA2503CR14BL</v>
          </cell>
          <cell r="BW2555">
            <v>61</v>
          </cell>
        </row>
        <row r="2556">
          <cell r="L2556" t="str">
            <v>WA2503CR14GR</v>
          </cell>
          <cell r="BW2556">
            <v>199</v>
          </cell>
        </row>
        <row r="2557">
          <cell r="L2557" t="str">
            <v>WA2503CR14GR</v>
          </cell>
          <cell r="BW2557">
            <v>205</v>
          </cell>
        </row>
        <row r="2558">
          <cell r="L2558" t="str">
            <v>WA2503CR14GR</v>
          </cell>
          <cell r="BW2558">
            <v>207</v>
          </cell>
        </row>
        <row r="2559">
          <cell r="L2559" t="str">
            <v>WA2503CR14GR</v>
          </cell>
          <cell r="BW2559">
            <v>163</v>
          </cell>
        </row>
        <row r="2560">
          <cell r="L2560" t="str">
            <v>WA2503CR15BK</v>
          </cell>
          <cell r="BW2560">
            <v>53</v>
          </cell>
        </row>
        <row r="2561">
          <cell r="L2561" t="str">
            <v>WA2503CR15BK</v>
          </cell>
          <cell r="BW2561">
            <v>63</v>
          </cell>
        </row>
        <row r="2562">
          <cell r="L2562" t="str">
            <v>WA2503CR15BK</v>
          </cell>
          <cell r="BW2562">
            <v>99</v>
          </cell>
        </row>
        <row r="2563">
          <cell r="L2563" t="str">
            <v>WA2503CR15BK</v>
          </cell>
          <cell r="BW2563">
            <v>40</v>
          </cell>
        </row>
        <row r="2564">
          <cell r="L2564" t="str">
            <v>WA2503CR15BR</v>
          </cell>
          <cell r="BW2564">
            <v>29</v>
          </cell>
        </row>
        <row r="2565">
          <cell r="L2565" t="str">
            <v>WA2503CR15BR</v>
          </cell>
          <cell r="BW2565">
            <v>25</v>
          </cell>
        </row>
        <row r="2566">
          <cell r="L2566" t="str">
            <v>WA2503CR15BR</v>
          </cell>
          <cell r="BW2566">
            <v>49</v>
          </cell>
        </row>
        <row r="2567">
          <cell r="L2567" t="str">
            <v>WA2503CR15BR</v>
          </cell>
          <cell r="BW2567">
            <v>22</v>
          </cell>
        </row>
        <row r="2568">
          <cell r="L2568" t="str">
            <v>WA2503CR16BK</v>
          </cell>
          <cell r="BW2568">
            <v>127</v>
          </cell>
        </row>
        <row r="2569">
          <cell r="L2569" t="str">
            <v>WA2503CR16BK</v>
          </cell>
          <cell r="BW2569">
            <v>127</v>
          </cell>
        </row>
        <row r="2570">
          <cell r="L2570" t="str">
            <v>WA2503CR16BK</v>
          </cell>
          <cell r="BW2570">
            <v>237</v>
          </cell>
        </row>
        <row r="2571">
          <cell r="L2571" t="str">
            <v>WA2503CR16BK</v>
          </cell>
          <cell r="BW2571">
            <v>53</v>
          </cell>
        </row>
        <row r="2572">
          <cell r="L2572" t="str">
            <v>WA2503CR16BK</v>
          </cell>
          <cell r="BW2572">
            <v>96</v>
          </cell>
        </row>
        <row r="2573">
          <cell r="L2573" t="str">
            <v>WA2503CR16GR</v>
          </cell>
          <cell r="BW2573">
            <v>48</v>
          </cell>
        </row>
        <row r="2574">
          <cell r="L2574" t="str">
            <v>WA2503CR16GR</v>
          </cell>
          <cell r="BW2574">
            <v>121</v>
          </cell>
        </row>
        <row r="2575">
          <cell r="L2575" t="str">
            <v>WA2503CR16GR</v>
          </cell>
          <cell r="BW2575">
            <v>301</v>
          </cell>
        </row>
        <row r="2576">
          <cell r="L2576" t="str">
            <v>WA2503CR16GR</v>
          </cell>
          <cell r="BW2576">
            <v>36</v>
          </cell>
        </row>
        <row r="2577">
          <cell r="L2577" t="str">
            <v>WA2503CR16GR</v>
          </cell>
          <cell r="BW2577">
            <v>126</v>
          </cell>
        </row>
        <row r="2578">
          <cell r="L2578" t="str">
            <v>WA2503CR17BK</v>
          </cell>
          <cell r="BW2578">
            <v>310</v>
          </cell>
        </row>
        <row r="2579">
          <cell r="L2579" t="str">
            <v>WA2503CR17BK</v>
          </cell>
          <cell r="BW2579">
            <v>310</v>
          </cell>
        </row>
        <row r="2580">
          <cell r="L2580" t="str">
            <v>WA2503CR17BK</v>
          </cell>
          <cell r="BW2580">
            <v>528</v>
          </cell>
        </row>
        <row r="2581">
          <cell r="L2581" t="str">
            <v>WA2503CR17BK</v>
          </cell>
          <cell r="BW2581">
            <v>86</v>
          </cell>
        </row>
        <row r="2582">
          <cell r="L2582" t="str">
            <v>WA2503CR17BK</v>
          </cell>
          <cell r="BW2582">
            <v>127</v>
          </cell>
        </row>
        <row r="2583">
          <cell r="L2583" t="str">
            <v>WA2503CR17CM</v>
          </cell>
          <cell r="BW2583">
            <v>41</v>
          </cell>
        </row>
        <row r="2584">
          <cell r="L2584" t="str">
            <v>WA2503CR17CM</v>
          </cell>
          <cell r="BW2584">
            <v>74</v>
          </cell>
        </row>
        <row r="2585">
          <cell r="L2585" t="str">
            <v>WA2503CR17CM</v>
          </cell>
          <cell r="BW2585">
            <v>119</v>
          </cell>
        </row>
        <row r="2586">
          <cell r="L2586" t="str">
            <v>WA2503CR17CM</v>
          </cell>
          <cell r="BW2586">
            <v>33</v>
          </cell>
        </row>
        <row r="2587">
          <cell r="L2587" t="str">
            <v>WA2503CR17CM</v>
          </cell>
          <cell r="BW2587">
            <v>52</v>
          </cell>
        </row>
        <row r="2588">
          <cell r="L2588" t="str">
            <v>WA2503CR18BL</v>
          </cell>
          <cell r="BW2588">
            <v>74</v>
          </cell>
        </row>
        <row r="2589">
          <cell r="L2589" t="str">
            <v>WA2503CR18BL</v>
          </cell>
          <cell r="BW2589">
            <v>77</v>
          </cell>
        </row>
        <row r="2590">
          <cell r="L2590" t="str">
            <v>WA2503CR18BL</v>
          </cell>
          <cell r="BW2590">
            <v>81</v>
          </cell>
        </row>
        <row r="2591">
          <cell r="L2591" t="str">
            <v>WA2503CR18BL</v>
          </cell>
          <cell r="BW2591">
            <v>75</v>
          </cell>
        </row>
        <row r="2592">
          <cell r="L2592" t="str">
            <v>WA2503CR18CH</v>
          </cell>
          <cell r="BW2592">
            <v>86</v>
          </cell>
        </row>
        <row r="2593">
          <cell r="L2593" t="str">
            <v>WA2503CR18CH</v>
          </cell>
          <cell r="BW2593">
            <v>61</v>
          </cell>
        </row>
        <row r="2594">
          <cell r="L2594" t="str">
            <v>WA2503CR18CH</v>
          </cell>
          <cell r="BW2594">
            <v>70</v>
          </cell>
        </row>
        <row r="2595">
          <cell r="L2595" t="str">
            <v>WA2503CR18CH</v>
          </cell>
          <cell r="BW2595">
            <v>64</v>
          </cell>
        </row>
        <row r="2596">
          <cell r="L2596" t="str">
            <v>WA2503CR18OR</v>
          </cell>
          <cell r="BW2596">
            <v>104</v>
          </cell>
        </row>
        <row r="2597">
          <cell r="L2597" t="str">
            <v>WA2503CR18OR</v>
          </cell>
          <cell r="BW2597">
            <v>116</v>
          </cell>
        </row>
        <row r="2598">
          <cell r="L2598" t="str">
            <v>WA2503CR18OR</v>
          </cell>
          <cell r="BW2598">
            <v>123</v>
          </cell>
        </row>
        <row r="2599">
          <cell r="L2599" t="str">
            <v>WA2503CR18OR</v>
          </cell>
          <cell r="BW2599">
            <v>73</v>
          </cell>
        </row>
        <row r="2600">
          <cell r="L2600" t="str">
            <v>WA2503CR19GN</v>
          </cell>
          <cell r="BW2600">
            <v>79</v>
          </cell>
        </row>
        <row r="2601">
          <cell r="L2601" t="str">
            <v>WA2503CR19GN</v>
          </cell>
          <cell r="BW2601">
            <v>119</v>
          </cell>
        </row>
        <row r="2602">
          <cell r="L2602" t="str">
            <v>WA2503CR19GN</v>
          </cell>
          <cell r="BW2602">
            <v>145</v>
          </cell>
        </row>
        <row r="2603">
          <cell r="L2603" t="str">
            <v>WA2503CR19GN</v>
          </cell>
          <cell r="BW2603">
            <v>56</v>
          </cell>
        </row>
        <row r="2604">
          <cell r="L2604" t="str">
            <v>WA2503CR19LG</v>
          </cell>
          <cell r="BW2604">
            <v>124</v>
          </cell>
        </row>
        <row r="2605">
          <cell r="L2605" t="str">
            <v>WA2503CR19LG</v>
          </cell>
          <cell r="BW2605">
            <v>115</v>
          </cell>
        </row>
        <row r="2606">
          <cell r="L2606" t="str">
            <v>WA2503CR19LG</v>
          </cell>
          <cell r="BW2606">
            <v>104</v>
          </cell>
        </row>
        <row r="2607">
          <cell r="L2607" t="str">
            <v>WA2503CR19LG</v>
          </cell>
          <cell r="BW2607">
            <v>74</v>
          </cell>
        </row>
        <row r="2608">
          <cell r="L2608" t="str">
            <v>WA2503CR19LG</v>
          </cell>
          <cell r="BW2608">
            <v>51</v>
          </cell>
        </row>
        <row r="2609">
          <cell r="L2609" t="str">
            <v>WA2503CR19NA</v>
          </cell>
          <cell r="BW2609">
            <v>73</v>
          </cell>
        </row>
        <row r="2610">
          <cell r="L2610" t="str">
            <v>WA2503CR19NA</v>
          </cell>
          <cell r="BW2610">
            <v>127</v>
          </cell>
        </row>
        <row r="2611">
          <cell r="L2611" t="str">
            <v>WA2503CR19NA</v>
          </cell>
          <cell r="BW2611">
            <v>204</v>
          </cell>
        </row>
        <row r="2612">
          <cell r="L2612" t="str">
            <v>WA2503CR19NA</v>
          </cell>
          <cell r="BW2612">
            <v>44</v>
          </cell>
        </row>
        <row r="2613">
          <cell r="L2613" t="str">
            <v>WA2503CR51BR</v>
          </cell>
          <cell r="BW2613">
            <v>24</v>
          </cell>
        </row>
        <row r="2614">
          <cell r="L2614" t="str">
            <v>WA2503CR51BR</v>
          </cell>
          <cell r="BW2614">
            <v>108</v>
          </cell>
        </row>
        <row r="2615">
          <cell r="L2615" t="str">
            <v>WA2503CR51BR</v>
          </cell>
          <cell r="BW2615">
            <v>133</v>
          </cell>
        </row>
        <row r="2616">
          <cell r="L2616" t="str">
            <v>WA2503CR51NA</v>
          </cell>
          <cell r="BW2616">
            <v>26</v>
          </cell>
        </row>
        <row r="2617">
          <cell r="L2617" t="str">
            <v>WA2503CR51NA</v>
          </cell>
          <cell r="BW2617">
            <v>75</v>
          </cell>
        </row>
        <row r="2618">
          <cell r="L2618" t="str">
            <v>WA2503CR51NA</v>
          </cell>
          <cell r="BW2618">
            <v>116</v>
          </cell>
        </row>
        <row r="2619">
          <cell r="L2619" t="str">
            <v>WA2503CR51OT</v>
          </cell>
          <cell r="BW2619">
            <v>43</v>
          </cell>
        </row>
        <row r="2620">
          <cell r="L2620" t="str">
            <v>WA2503CR51OT</v>
          </cell>
          <cell r="BW2620">
            <v>71</v>
          </cell>
        </row>
        <row r="2621">
          <cell r="L2621" t="str">
            <v>WA2503CR51OT</v>
          </cell>
          <cell r="BW2621">
            <v>67</v>
          </cell>
        </row>
        <row r="2622">
          <cell r="L2622" t="str">
            <v>WA2503CR51PI</v>
          </cell>
          <cell r="BW2622">
            <v>3</v>
          </cell>
        </row>
        <row r="2623">
          <cell r="L2623" t="str">
            <v>WA2503CR51PI</v>
          </cell>
          <cell r="BW2623">
            <v>28</v>
          </cell>
        </row>
        <row r="2624">
          <cell r="L2624" t="str">
            <v>WA2503CR51PI</v>
          </cell>
          <cell r="BW2624">
            <v>37</v>
          </cell>
        </row>
        <row r="2625">
          <cell r="L2625" t="str">
            <v>WA2503CR52DN</v>
          </cell>
          <cell r="BW2625">
            <v>35</v>
          </cell>
        </row>
        <row r="2626">
          <cell r="L2626" t="str">
            <v>WA2503CR52DN</v>
          </cell>
          <cell r="BW2626">
            <v>111</v>
          </cell>
        </row>
        <row r="2627">
          <cell r="L2627" t="str">
            <v>WA2503CR52DN</v>
          </cell>
          <cell r="BW2627">
            <v>114</v>
          </cell>
        </row>
        <row r="2628">
          <cell r="L2628" t="str">
            <v>WA2503CR52OT</v>
          </cell>
          <cell r="BW2628">
            <v>38</v>
          </cell>
        </row>
        <row r="2629">
          <cell r="L2629" t="str">
            <v>WA2503CR52OT</v>
          </cell>
          <cell r="BW2629">
            <v>96</v>
          </cell>
        </row>
        <row r="2630">
          <cell r="L2630" t="str">
            <v>WA2503CR52OT</v>
          </cell>
          <cell r="BW2630">
            <v>77</v>
          </cell>
        </row>
        <row r="2631">
          <cell r="L2631" t="str">
            <v>WA2503CR55CM</v>
          </cell>
          <cell r="BW2631">
            <v>264</v>
          </cell>
        </row>
        <row r="2632">
          <cell r="L2632" t="str">
            <v>WA2503CR55CM</v>
          </cell>
          <cell r="BW2632">
            <v>360</v>
          </cell>
        </row>
        <row r="2633">
          <cell r="L2633" t="str">
            <v>WA2503CR55LG</v>
          </cell>
          <cell r="BW2633">
            <v>166</v>
          </cell>
        </row>
        <row r="2634">
          <cell r="L2634" t="str">
            <v>WA2503CR55LG</v>
          </cell>
          <cell r="BW2634">
            <v>134</v>
          </cell>
        </row>
        <row r="2635">
          <cell r="L2635" t="str">
            <v>WA2503CR55NA</v>
          </cell>
          <cell r="BW2635">
            <v>57</v>
          </cell>
        </row>
        <row r="2636">
          <cell r="L2636" t="str">
            <v>WA2503CR55NA</v>
          </cell>
          <cell r="BW2636">
            <v>76</v>
          </cell>
        </row>
        <row r="2637">
          <cell r="L2637" t="str">
            <v>WA2503CR61MI</v>
          </cell>
          <cell r="BW2637">
            <v>227</v>
          </cell>
        </row>
        <row r="2638">
          <cell r="L2638" t="str">
            <v>WA2503CR61OT</v>
          </cell>
          <cell r="BW2638">
            <v>207</v>
          </cell>
        </row>
        <row r="2639">
          <cell r="L2639" t="str">
            <v>WA2503CR62CM</v>
          </cell>
          <cell r="BW2639">
            <v>96</v>
          </cell>
        </row>
        <row r="2640">
          <cell r="L2640" t="str">
            <v>WA2503CR62CM</v>
          </cell>
          <cell r="BW2640">
            <v>220</v>
          </cell>
        </row>
        <row r="2641">
          <cell r="L2641" t="str">
            <v>WA2503CR62CM</v>
          </cell>
          <cell r="BW2641">
            <v>158</v>
          </cell>
        </row>
        <row r="2642">
          <cell r="L2642" t="str">
            <v>WA2503CR62OT</v>
          </cell>
          <cell r="BW2642">
            <v>102</v>
          </cell>
        </row>
        <row r="2643">
          <cell r="L2643" t="str">
            <v>WA2503CR62OT</v>
          </cell>
          <cell r="BW2643">
            <v>304</v>
          </cell>
        </row>
        <row r="2644">
          <cell r="L2644" t="str">
            <v>WA2503CR62OT</v>
          </cell>
          <cell r="BW2644">
            <v>185</v>
          </cell>
        </row>
        <row r="2645">
          <cell r="L2645" t="str">
            <v>WA2503CR62PI</v>
          </cell>
          <cell r="BW2645">
            <v>22</v>
          </cell>
        </row>
        <row r="2646">
          <cell r="L2646" t="str">
            <v>WA2503CR62PI</v>
          </cell>
          <cell r="BW2646">
            <v>87</v>
          </cell>
        </row>
        <row r="2647">
          <cell r="L2647" t="str">
            <v>WA2503CR62PI</v>
          </cell>
          <cell r="BW2647">
            <v>59</v>
          </cell>
        </row>
        <row r="2648">
          <cell r="L2648" t="str">
            <v>WA2503CR63BR</v>
          </cell>
          <cell r="BW2648">
            <v>139</v>
          </cell>
        </row>
        <row r="2649">
          <cell r="L2649" t="str">
            <v>WA2503CR63DN</v>
          </cell>
          <cell r="BW2649">
            <v>150</v>
          </cell>
        </row>
        <row r="2650">
          <cell r="L2650" t="str">
            <v>WA2503CR63OT</v>
          </cell>
          <cell r="BW2650">
            <v>209</v>
          </cell>
        </row>
        <row r="2651">
          <cell r="L2651" t="str">
            <v>WA2503CR64DG</v>
          </cell>
          <cell r="BW2651">
            <v>197</v>
          </cell>
        </row>
        <row r="2652">
          <cell r="L2652" t="str">
            <v>WA2503CR64DG</v>
          </cell>
          <cell r="BW2652">
            <v>177</v>
          </cell>
        </row>
        <row r="2653">
          <cell r="L2653" t="str">
            <v>WA2503CR64OT</v>
          </cell>
          <cell r="BW2653">
            <v>240</v>
          </cell>
        </row>
        <row r="2654">
          <cell r="L2654" t="str">
            <v>WA2503CR64OT</v>
          </cell>
          <cell r="BW2654">
            <v>149</v>
          </cell>
        </row>
        <row r="2655">
          <cell r="L2655" t="str">
            <v>WA2503CR65TC</v>
          </cell>
          <cell r="BW2655">
            <v>176</v>
          </cell>
        </row>
        <row r="2656">
          <cell r="L2656" t="str">
            <v>WA2503CR65TC</v>
          </cell>
          <cell r="BW2656">
            <v>182</v>
          </cell>
        </row>
        <row r="2657">
          <cell r="L2657" t="str">
            <v>WA2503CR66BL</v>
          </cell>
          <cell r="BW2657">
            <v>266</v>
          </cell>
        </row>
        <row r="2658">
          <cell r="L2658" t="str">
            <v>WA2503CR66YE</v>
          </cell>
          <cell r="BW2658">
            <v>219</v>
          </cell>
        </row>
        <row r="2659">
          <cell r="L2659" t="str">
            <v>WA2503CR67CM</v>
          </cell>
          <cell r="BW2659">
            <v>8</v>
          </cell>
        </row>
        <row r="2660">
          <cell r="L2660" t="str">
            <v>WA2503CR67DN</v>
          </cell>
          <cell r="BW2660">
            <v>2</v>
          </cell>
        </row>
        <row r="2661">
          <cell r="L2661" t="str">
            <v>WA2503CR81DN</v>
          </cell>
          <cell r="BW2661">
            <v>17</v>
          </cell>
        </row>
        <row r="2662">
          <cell r="L2662" t="str">
            <v>WA2503CR81DN</v>
          </cell>
          <cell r="BW2662">
            <v>33</v>
          </cell>
        </row>
        <row r="2663">
          <cell r="L2663" t="str">
            <v>WA2503CR81DN</v>
          </cell>
          <cell r="BW2663">
            <v>70</v>
          </cell>
        </row>
        <row r="2664">
          <cell r="L2664" t="str">
            <v>WA2503CR81LG</v>
          </cell>
          <cell r="BW2664">
            <v>16</v>
          </cell>
        </row>
        <row r="2665">
          <cell r="L2665" t="str">
            <v>WA2503CR81LG</v>
          </cell>
          <cell r="BW2665">
            <v>32</v>
          </cell>
        </row>
        <row r="2666">
          <cell r="L2666" t="str">
            <v>WA2503CR81LG</v>
          </cell>
          <cell r="BW2666">
            <v>82</v>
          </cell>
        </row>
        <row r="2667">
          <cell r="L2667" t="str">
            <v>WA2503CR82BR</v>
          </cell>
          <cell r="BW2667">
            <v>39</v>
          </cell>
        </row>
        <row r="2668">
          <cell r="L2668" t="str">
            <v>WA2503CR82BR</v>
          </cell>
          <cell r="BW2668">
            <v>52</v>
          </cell>
        </row>
        <row r="2669">
          <cell r="L2669" t="str">
            <v>WA2503CR82BR</v>
          </cell>
          <cell r="BW2669">
            <v>150</v>
          </cell>
        </row>
        <row r="2670">
          <cell r="L2670" t="str">
            <v>WA2503CR82OT</v>
          </cell>
          <cell r="BW2670">
            <v>23</v>
          </cell>
        </row>
        <row r="2671">
          <cell r="L2671" t="str">
            <v>WA2503CR82OT</v>
          </cell>
          <cell r="BW2671">
            <v>36</v>
          </cell>
        </row>
        <row r="2672">
          <cell r="L2672" t="str">
            <v>WA2503CR82OT</v>
          </cell>
          <cell r="BW2672">
            <v>104</v>
          </cell>
        </row>
        <row r="2673">
          <cell r="L2673" t="str">
            <v>WA2503GV01BL</v>
          </cell>
          <cell r="BW2673">
            <v>376</v>
          </cell>
        </row>
        <row r="2674">
          <cell r="L2674" t="str">
            <v>WA2503GV01BR</v>
          </cell>
          <cell r="BW2674">
            <v>401</v>
          </cell>
        </row>
        <row r="2675">
          <cell r="L2675" t="str">
            <v>WA2503HD01BE</v>
          </cell>
          <cell r="BW2675">
            <v>194</v>
          </cell>
        </row>
        <row r="2676">
          <cell r="L2676" t="str">
            <v>WA2503HD01BE</v>
          </cell>
          <cell r="BW2676">
            <v>185</v>
          </cell>
        </row>
        <row r="2677">
          <cell r="L2677" t="str">
            <v>WA2503HD01BE</v>
          </cell>
          <cell r="BW2677">
            <v>235</v>
          </cell>
        </row>
        <row r="2678">
          <cell r="L2678" t="str">
            <v>WA2503HD01BE</v>
          </cell>
          <cell r="BW2678">
            <v>98</v>
          </cell>
        </row>
        <row r="2679">
          <cell r="L2679" t="str">
            <v>WA2503HD01BK</v>
          </cell>
          <cell r="BW2679">
            <v>332</v>
          </cell>
        </row>
        <row r="2680">
          <cell r="L2680" t="str">
            <v>WA2503HD01BK</v>
          </cell>
          <cell r="BW2680">
            <v>637</v>
          </cell>
        </row>
        <row r="2681">
          <cell r="L2681" t="str">
            <v>WA2503HD01BK</v>
          </cell>
          <cell r="BW2681">
            <v>888</v>
          </cell>
        </row>
        <row r="2682">
          <cell r="L2682" t="str">
            <v>WA2503HD01BK</v>
          </cell>
          <cell r="BW2682">
            <v>173</v>
          </cell>
        </row>
        <row r="2683">
          <cell r="L2683" t="str">
            <v>WA2503HD01BK</v>
          </cell>
          <cell r="BW2683">
            <v>137</v>
          </cell>
        </row>
        <row r="2684">
          <cell r="L2684" t="str">
            <v>WA2503HD01BK</v>
          </cell>
          <cell r="BW2684">
            <v>47</v>
          </cell>
        </row>
        <row r="2685">
          <cell r="L2685" t="str">
            <v>WA2503HD01BR</v>
          </cell>
          <cell r="BW2685">
            <v>71</v>
          </cell>
        </row>
        <row r="2686">
          <cell r="L2686" t="str">
            <v>WA2503HD01BR</v>
          </cell>
          <cell r="BW2686">
            <v>93</v>
          </cell>
        </row>
        <row r="2687">
          <cell r="L2687" t="str">
            <v>WA2503HD01BR</v>
          </cell>
          <cell r="BW2687">
            <v>145</v>
          </cell>
        </row>
        <row r="2688">
          <cell r="L2688" t="str">
            <v>WA2503HD01BR</v>
          </cell>
          <cell r="BW2688">
            <v>42</v>
          </cell>
        </row>
        <row r="2689">
          <cell r="L2689" t="str">
            <v>WA2503HD01GN</v>
          </cell>
          <cell r="BW2689">
            <v>126</v>
          </cell>
        </row>
        <row r="2690">
          <cell r="L2690" t="str">
            <v>WA2503HD01GN</v>
          </cell>
          <cell r="BW2690">
            <v>162</v>
          </cell>
        </row>
        <row r="2691">
          <cell r="L2691" t="str">
            <v>WA2503HD01GN</v>
          </cell>
          <cell r="BW2691">
            <v>213</v>
          </cell>
        </row>
        <row r="2692">
          <cell r="L2692" t="str">
            <v>WA2503HD01GN</v>
          </cell>
          <cell r="BW2692">
            <v>81</v>
          </cell>
        </row>
        <row r="2693">
          <cell r="L2693" t="str">
            <v>WA2503HD01GR</v>
          </cell>
          <cell r="BW2693">
            <v>304</v>
          </cell>
        </row>
        <row r="2694">
          <cell r="L2694" t="str">
            <v>WA2503HD01GR</v>
          </cell>
          <cell r="BW2694">
            <v>368</v>
          </cell>
        </row>
        <row r="2695">
          <cell r="L2695" t="str">
            <v>WA2503HD01GR</v>
          </cell>
          <cell r="BW2695">
            <v>507</v>
          </cell>
        </row>
        <row r="2696">
          <cell r="L2696" t="str">
            <v>WA2503HD01GR</v>
          </cell>
          <cell r="BW2696">
            <v>171</v>
          </cell>
        </row>
        <row r="2697">
          <cell r="L2697" t="str">
            <v>WA2503HD01GR</v>
          </cell>
          <cell r="BW2697">
            <v>61</v>
          </cell>
        </row>
        <row r="2698">
          <cell r="L2698" t="str">
            <v>WA2503HD01GR</v>
          </cell>
          <cell r="BW2698">
            <v>70</v>
          </cell>
        </row>
        <row r="2699">
          <cell r="L2699" t="str">
            <v>WA2503HD01LG</v>
          </cell>
          <cell r="BW2699">
            <v>349</v>
          </cell>
        </row>
        <row r="2700">
          <cell r="L2700" t="str">
            <v>WA2503HD01LG</v>
          </cell>
          <cell r="BW2700">
            <v>473</v>
          </cell>
        </row>
        <row r="2701">
          <cell r="L2701" t="str">
            <v>WA2503HD01LG</v>
          </cell>
          <cell r="BW2701">
            <v>627</v>
          </cell>
        </row>
        <row r="2702">
          <cell r="L2702" t="str">
            <v>WA2503HD01LG</v>
          </cell>
          <cell r="BW2702">
            <v>255</v>
          </cell>
        </row>
        <row r="2703">
          <cell r="L2703" t="str">
            <v>WA2503HD01LG</v>
          </cell>
          <cell r="BW2703">
            <v>73</v>
          </cell>
        </row>
        <row r="2704">
          <cell r="L2704" t="str">
            <v>WA2503HD01LG</v>
          </cell>
          <cell r="BW2704">
            <v>70</v>
          </cell>
        </row>
        <row r="2705">
          <cell r="L2705" t="str">
            <v>WA2503HD11BK</v>
          </cell>
          <cell r="BW2705">
            <v>100</v>
          </cell>
        </row>
        <row r="2706">
          <cell r="L2706" t="str">
            <v>WA2503HD11BK</v>
          </cell>
          <cell r="BW2706">
            <v>100</v>
          </cell>
        </row>
        <row r="2707">
          <cell r="L2707" t="str">
            <v>WA2503HD11BK</v>
          </cell>
          <cell r="BW2707">
            <v>79</v>
          </cell>
        </row>
        <row r="2708">
          <cell r="L2708" t="str">
            <v>WA2503HD11BK</v>
          </cell>
          <cell r="BW2708">
            <v>57</v>
          </cell>
        </row>
        <row r="2709">
          <cell r="L2709" t="str">
            <v>WA2503HD11BK</v>
          </cell>
          <cell r="BW2709">
            <v>115</v>
          </cell>
        </row>
        <row r="2710">
          <cell r="L2710" t="str">
            <v>WA2503HD11BU</v>
          </cell>
          <cell r="BW2710">
            <v>30</v>
          </cell>
        </row>
        <row r="2711">
          <cell r="L2711" t="str">
            <v>WA2503HD11BU</v>
          </cell>
          <cell r="BW2711">
            <v>52</v>
          </cell>
        </row>
        <row r="2712">
          <cell r="L2712" t="str">
            <v>WA2503HD11BU</v>
          </cell>
          <cell r="BW2712">
            <v>58</v>
          </cell>
        </row>
        <row r="2713">
          <cell r="L2713" t="str">
            <v>WA2503HD11BU</v>
          </cell>
          <cell r="BW2713">
            <v>36</v>
          </cell>
        </row>
        <row r="2714">
          <cell r="L2714" t="str">
            <v>WA2503HD11GR</v>
          </cell>
          <cell r="BW2714">
            <v>120</v>
          </cell>
        </row>
        <row r="2715">
          <cell r="L2715" t="str">
            <v>WA2503HD11GR</v>
          </cell>
          <cell r="BW2715">
            <v>54</v>
          </cell>
        </row>
        <row r="2716">
          <cell r="L2716" t="str">
            <v>WA2503HD11GR</v>
          </cell>
          <cell r="BW2716">
            <v>47</v>
          </cell>
        </row>
        <row r="2717">
          <cell r="L2717" t="str">
            <v>WA2503HD11GR</v>
          </cell>
          <cell r="BW2717">
            <v>188</v>
          </cell>
        </row>
        <row r="2718">
          <cell r="L2718" t="str">
            <v>WA2503HD11GR</v>
          </cell>
          <cell r="BW2718">
            <v>158</v>
          </cell>
        </row>
        <row r="2719">
          <cell r="L2719" t="str">
            <v>WA2503HD11LK</v>
          </cell>
          <cell r="BW2719">
            <v>41</v>
          </cell>
        </row>
        <row r="2720">
          <cell r="L2720" t="str">
            <v>WA2503HD11LK</v>
          </cell>
          <cell r="BW2720">
            <v>54</v>
          </cell>
        </row>
        <row r="2721">
          <cell r="L2721" t="str">
            <v>WA2503HD11LK</v>
          </cell>
          <cell r="BW2721">
            <v>82</v>
          </cell>
        </row>
        <row r="2722">
          <cell r="L2722" t="str">
            <v>WA2503HD11LK</v>
          </cell>
          <cell r="BW2722">
            <v>37</v>
          </cell>
        </row>
        <row r="2723">
          <cell r="L2723" t="str">
            <v>WA2503HD12BK</v>
          </cell>
          <cell r="BW2723">
            <v>225</v>
          </cell>
        </row>
        <row r="2724">
          <cell r="L2724" t="str">
            <v>WA2503HD12BK</v>
          </cell>
          <cell r="BW2724">
            <v>296</v>
          </cell>
        </row>
        <row r="2725">
          <cell r="L2725" t="str">
            <v>WA2503HD12BK</v>
          </cell>
          <cell r="BW2725">
            <v>317</v>
          </cell>
        </row>
        <row r="2726">
          <cell r="L2726" t="str">
            <v>WA2503HD12BK</v>
          </cell>
          <cell r="BW2726">
            <v>146</v>
          </cell>
        </row>
        <row r="2727">
          <cell r="L2727" t="str">
            <v>WA2503HD12CM</v>
          </cell>
          <cell r="BW2727">
            <v>214</v>
          </cell>
        </row>
        <row r="2728">
          <cell r="L2728" t="str">
            <v>WA2503HD12CM</v>
          </cell>
          <cell r="BW2728">
            <v>240</v>
          </cell>
        </row>
        <row r="2729">
          <cell r="L2729" t="str">
            <v>WA2503HD12CM</v>
          </cell>
          <cell r="BW2729">
            <v>186</v>
          </cell>
        </row>
        <row r="2730">
          <cell r="L2730" t="str">
            <v>WA2503HD12CM</v>
          </cell>
          <cell r="BW2730">
            <v>176</v>
          </cell>
        </row>
        <row r="2731">
          <cell r="L2731" t="str">
            <v>WA2503HD13BL</v>
          </cell>
          <cell r="BW2731">
            <v>39</v>
          </cell>
        </row>
        <row r="2732">
          <cell r="L2732" t="str">
            <v>WA2503HD13BL</v>
          </cell>
          <cell r="BW2732">
            <v>69</v>
          </cell>
        </row>
        <row r="2733">
          <cell r="L2733" t="str">
            <v>WA2503HD13BL</v>
          </cell>
          <cell r="BW2733">
            <v>103</v>
          </cell>
        </row>
        <row r="2734">
          <cell r="L2734" t="str">
            <v>WA2503HD13BL</v>
          </cell>
          <cell r="BW2734">
            <v>34</v>
          </cell>
        </row>
        <row r="2735">
          <cell r="L2735" t="str">
            <v>WA2503HD13CH</v>
          </cell>
          <cell r="BW2735">
            <v>87</v>
          </cell>
        </row>
        <row r="2736">
          <cell r="L2736" t="str">
            <v>WA2503HD13CH</v>
          </cell>
          <cell r="BW2736">
            <v>149</v>
          </cell>
        </row>
        <row r="2737">
          <cell r="L2737" t="str">
            <v>WA2503HD13CH</v>
          </cell>
          <cell r="BW2737">
            <v>255</v>
          </cell>
        </row>
        <row r="2738">
          <cell r="L2738" t="str">
            <v>WA2503HD13CH</v>
          </cell>
          <cell r="BW2738">
            <v>49</v>
          </cell>
        </row>
        <row r="2739">
          <cell r="L2739" t="str">
            <v>WA2503HD14BL</v>
          </cell>
          <cell r="BW2739">
            <v>48</v>
          </cell>
        </row>
        <row r="2740">
          <cell r="L2740" t="str">
            <v>WA2503HD14BL</v>
          </cell>
          <cell r="BW2740">
            <v>86</v>
          </cell>
        </row>
        <row r="2741">
          <cell r="L2741" t="str">
            <v>WA2503HD14BL</v>
          </cell>
          <cell r="BW2741">
            <v>162</v>
          </cell>
        </row>
        <row r="2742">
          <cell r="L2742" t="str">
            <v>WA2503HD14BL</v>
          </cell>
          <cell r="BW2742">
            <v>45</v>
          </cell>
        </row>
        <row r="2743">
          <cell r="L2743" t="str">
            <v>WA2503HD14LK</v>
          </cell>
          <cell r="BW2743">
            <v>76</v>
          </cell>
        </row>
        <row r="2744">
          <cell r="L2744" t="str">
            <v>WA2503HD14LK</v>
          </cell>
          <cell r="BW2744">
            <v>115</v>
          </cell>
        </row>
        <row r="2745">
          <cell r="L2745" t="str">
            <v>WA2503HD14LK</v>
          </cell>
          <cell r="BW2745">
            <v>135</v>
          </cell>
        </row>
        <row r="2746">
          <cell r="L2746" t="str">
            <v>WA2503HD14LK</v>
          </cell>
          <cell r="BW2746">
            <v>42</v>
          </cell>
        </row>
        <row r="2747">
          <cell r="L2747" t="str">
            <v>WA2503HD15GR</v>
          </cell>
          <cell r="BW2747">
            <v>100</v>
          </cell>
        </row>
        <row r="2748">
          <cell r="L2748" t="str">
            <v>WA2503HD15GR</v>
          </cell>
          <cell r="BW2748">
            <v>176</v>
          </cell>
        </row>
        <row r="2749">
          <cell r="L2749" t="str">
            <v>WA2503HD15GR</v>
          </cell>
          <cell r="BW2749">
            <v>160</v>
          </cell>
        </row>
        <row r="2750">
          <cell r="L2750" t="str">
            <v>WA2503HD15GR</v>
          </cell>
          <cell r="BW2750">
            <v>80</v>
          </cell>
        </row>
        <row r="2751">
          <cell r="L2751" t="str">
            <v>WA2503HD15PU</v>
          </cell>
          <cell r="BW2751">
            <v>95</v>
          </cell>
        </row>
        <row r="2752">
          <cell r="L2752" t="str">
            <v>WA2503HD15PU</v>
          </cell>
          <cell r="BW2752">
            <v>129</v>
          </cell>
        </row>
        <row r="2753">
          <cell r="L2753" t="str">
            <v>WA2503HD15PU</v>
          </cell>
          <cell r="BW2753">
            <v>135</v>
          </cell>
        </row>
        <row r="2754">
          <cell r="L2754" t="str">
            <v>WA2503HD15PU</v>
          </cell>
          <cell r="BW2754">
            <v>72</v>
          </cell>
        </row>
        <row r="2755">
          <cell r="L2755" t="str">
            <v>WA2503HD16BK</v>
          </cell>
          <cell r="BW2755">
            <v>161</v>
          </cell>
        </row>
        <row r="2756">
          <cell r="L2756" t="str">
            <v>WA2503HD16BK</v>
          </cell>
          <cell r="BW2756">
            <v>186</v>
          </cell>
        </row>
        <row r="2757">
          <cell r="L2757" t="str">
            <v>WA2503HD16BK</v>
          </cell>
          <cell r="BW2757">
            <v>298</v>
          </cell>
        </row>
        <row r="2758">
          <cell r="L2758" t="str">
            <v>WA2503HD16BK</v>
          </cell>
          <cell r="BW2758">
            <v>233</v>
          </cell>
        </row>
        <row r="2759">
          <cell r="L2759" t="str">
            <v>WA2503HD16GN</v>
          </cell>
          <cell r="BW2759">
            <v>80</v>
          </cell>
        </row>
        <row r="2760">
          <cell r="L2760" t="str">
            <v>WA2503HD16GN</v>
          </cell>
          <cell r="BW2760">
            <v>117</v>
          </cell>
        </row>
        <row r="2761">
          <cell r="L2761" t="str">
            <v>WA2503HD16GN</v>
          </cell>
          <cell r="BW2761">
            <v>229</v>
          </cell>
        </row>
        <row r="2762">
          <cell r="L2762" t="str">
            <v>WA2503HD16GN</v>
          </cell>
          <cell r="BW2762">
            <v>45</v>
          </cell>
        </row>
        <row r="2763">
          <cell r="L2763" t="str">
            <v>WA2503HD51BR</v>
          </cell>
          <cell r="BW2763">
            <v>13</v>
          </cell>
        </row>
        <row r="2764">
          <cell r="L2764" t="str">
            <v>WA2503HD51BR</v>
          </cell>
          <cell r="BW2764">
            <v>86</v>
          </cell>
        </row>
        <row r="2765">
          <cell r="L2765" t="str">
            <v>WA2503HD51BR</v>
          </cell>
          <cell r="BW2765">
            <v>103</v>
          </cell>
        </row>
        <row r="2766">
          <cell r="L2766" t="str">
            <v>WA2503HD51DN</v>
          </cell>
          <cell r="BW2766">
            <v>47</v>
          </cell>
        </row>
        <row r="2767">
          <cell r="L2767" t="str">
            <v>WA2503HD51DN</v>
          </cell>
          <cell r="BW2767">
            <v>126</v>
          </cell>
        </row>
        <row r="2768">
          <cell r="L2768" t="str">
            <v>WA2503HD51DN</v>
          </cell>
          <cell r="BW2768">
            <v>112</v>
          </cell>
        </row>
        <row r="2769">
          <cell r="L2769" t="str">
            <v>WA2503HD51GR</v>
          </cell>
          <cell r="BW2769">
            <v>64</v>
          </cell>
        </row>
        <row r="2770">
          <cell r="L2770" t="str">
            <v>WA2503HD51GR</v>
          </cell>
          <cell r="BW2770">
            <v>267</v>
          </cell>
        </row>
        <row r="2771">
          <cell r="L2771" t="str">
            <v>WA2503HD51GR</v>
          </cell>
          <cell r="BW2771">
            <v>269</v>
          </cell>
        </row>
        <row r="2772">
          <cell r="L2772" t="str">
            <v>WA2503HD51SB</v>
          </cell>
          <cell r="BW2772">
            <v>13</v>
          </cell>
        </row>
        <row r="2773">
          <cell r="L2773" t="str">
            <v>WA2503HD51SB</v>
          </cell>
          <cell r="BW2773">
            <v>27</v>
          </cell>
        </row>
        <row r="2774">
          <cell r="L2774" t="str">
            <v>WA2503HD51SB</v>
          </cell>
          <cell r="BW2774">
            <v>44</v>
          </cell>
        </row>
        <row r="2775">
          <cell r="L2775" t="str">
            <v>WA2503HD61BL</v>
          </cell>
          <cell r="BW2775">
            <v>184</v>
          </cell>
        </row>
        <row r="2776">
          <cell r="L2776" t="str">
            <v>WA2503HD61GN</v>
          </cell>
          <cell r="BW2776">
            <v>232</v>
          </cell>
        </row>
        <row r="2777">
          <cell r="L2777" t="str">
            <v>WA2503HD62BE</v>
          </cell>
          <cell r="BW2777">
            <v>92</v>
          </cell>
        </row>
        <row r="2778">
          <cell r="L2778" t="str">
            <v>WA2503HD62BE</v>
          </cell>
          <cell r="BW2778">
            <v>352</v>
          </cell>
        </row>
        <row r="2779">
          <cell r="L2779" t="str">
            <v>WA2503HD62BE</v>
          </cell>
          <cell r="BW2779">
            <v>321</v>
          </cell>
        </row>
        <row r="2780">
          <cell r="L2780" t="str">
            <v>WA2503HD62NA</v>
          </cell>
          <cell r="BW2780">
            <v>46</v>
          </cell>
        </row>
        <row r="2781">
          <cell r="L2781" t="str">
            <v>WA2503HD62NA</v>
          </cell>
          <cell r="BW2781">
            <v>152</v>
          </cell>
        </row>
        <row r="2782">
          <cell r="L2782" t="str">
            <v>WA2503HD62NA</v>
          </cell>
          <cell r="BW2782">
            <v>189</v>
          </cell>
        </row>
        <row r="2783">
          <cell r="L2783" t="str">
            <v>WA2503HD63NA</v>
          </cell>
          <cell r="BW2783">
            <v>172</v>
          </cell>
        </row>
        <row r="2784">
          <cell r="L2784" t="str">
            <v>WA2503HD63NA</v>
          </cell>
          <cell r="BW2784">
            <v>192</v>
          </cell>
        </row>
        <row r="2785">
          <cell r="L2785" t="str">
            <v>WA2503HD63OT</v>
          </cell>
          <cell r="BW2785">
            <v>360</v>
          </cell>
        </row>
        <row r="2786">
          <cell r="L2786" t="str">
            <v>WA2503HD63OT</v>
          </cell>
          <cell r="BW2786">
            <v>364</v>
          </cell>
        </row>
        <row r="2787">
          <cell r="L2787" t="str">
            <v>WA2503HD64DN</v>
          </cell>
          <cell r="BW2787">
            <v>142</v>
          </cell>
        </row>
        <row r="2788">
          <cell r="L2788" t="str">
            <v>WA2503HD64OT</v>
          </cell>
          <cell r="BW2788">
            <v>14</v>
          </cell>
        </row>
        <row r="2789">
          <cell r="L2789" t="str">
            <v>WA2503HD81GR</v>
          </cell>
          <cell r="BW2789">
            <v>50</v>
          </cell>
        </row>
        <row r="2790">
          <cell r="L2790" t="str">
            <v>WA2503HD81GR</v>
          </cell>
          <cell r="BW2790">
            <v>71</v>
          </cell>
        </row>
        <row r="2791">
          <cell r="L2791" t="str">
            <v>WA2503HD81GR</v>
          </cell>
          <cell r="BW2791">
            <v>117</v>
          </cell>
        </row>
        <row r="2792">
          <cell r="L2792" t="str">
            <v>WA2503HZ01BK</v>
          </cell>
          <cell r="BW2792">
            <v>566</v>
          </cell>
        </row>
        <row r="2793">
          <cell r="L2793" t="str">
            <v>WA2503HZ01BK</v>
          </cell>
          <cell r="BW2793">
            <v>686</v>
          </cell>
        </row>
        <row r="2794">
          <cell r="L2794" t="str">
            <v>WA2503HZ01BK</v>
          </cell>
          <cell r="BW2794">
            <v>1187</v>
          </cell>
        </row>
        <row r="2795">
          <cell r="L2795" t="str">
            <v>WA2503HZ01BK</v>
          </cell>
          <cell r="BW2795">
            <v>300</v>
          </cell>
        </row>
        <row r="2796">
          <cell r="L2796" t="str">
            <v>WA2503HZ01BK</v>
          </cell>
          <cell r="BW2796">
            <v>124</v>
          </cell>
        </row>
        <row r="2797">
          <cell r="L2797" t="str">
            <v>WA2503HZ01BK</v>
          </cell>
          <cell r="BW2797">
            <v>72</v>
          </cell>
        </row>
        <row r="2798">
          <cell r="L2798" t="str">
            <v>WA2503HZ01GR</v>
          </cell>
          <cell r="BW2798">
            <v>741</v>
          </cell>
        </row>
        <row r="2799">
          <cell r="L2799" t="str">
            <v>WA2503HZ01GR</v>
          </cell>
          <cell r="BW2799">
            <v>1046</v>
          </cell>
        </row>
        <row r="2800">
          <cell r="L2800" t="str">
            <v>WA2503HZ01GR</v>
          </cell>
          <cell r="BW2800">
            <v>1684</v>
          </cell>
        </row>
        <row r="2801">
          <cell r="L2801" t="str">
            <v>WA2503HZ01GR</v>
          </cell>
          <cell r="BW2801">
            <v>722</v>
          </cell>
        </row>
        <row r="2802">
          <cell r="L2802" t="str">
            <v>WA2503HZ01GR</v>
          </cell>
          <cell r="BW2802">
            <v>101</v>
          </cell>
        </row>
        <row r="2803">
          <cell r="L2803" t="str">
            <v>WA2503HZ01GR</v>
          </cell>
          <cell r="BW2803">
            <v>188</v>
          </cell>
        </row>
        <row r="2804">
          <cell r="L2804" t="str">
            <v>WA2503HZ01LB</v>
          </cell>
          <cell r="BW2804">
            <v>101</v>
          </cell>
        </row>
        <row r="2805">
          <cell r="L2805" t="str">
            <v>WA2503HZ01LB</v>
          </cell>
          <cell r="BW2805">
            <v>108</v>
          </cell>
        </row>
        <row r="2806">
          <cell r="L2806" t="str">
            <v>WA2503HZ01LB</v>
          </cell>
          <cell r="BW2806">
            <v>123</v>
          </cell>
        </row>
        <row r="2807">
          <cell r="L2807" t="str">
            <v>WA2503HZ01LB</v>
          </cell>
          <cell r="BW2807">
            <v>56</v>
          </cell>
        </row>
        <row r="2808">
          <cell r="L2808" t="str">
            <v>WA2503HZ01LG</v>
          </cell>
          <cell r="BW2808">
            <v>794</v>
          </cell>
        </row>
        <row r="2809">
          <cell r="L2809" t="str">
            <v>WA2503HZ01LG</v>
          </cell>
          <cell r="BW2809">
            <v>1079</v>
          </cell>
        </row>
        <row r="2810">
          <cell r="L2810" t="str">
            <v>WA2503HZ01LG</v>
          </cell>
          <cell r="BW2810">
            <v>1246</v>
          </cell>
        </row>
        <row r="2811">
          <cell r="L2811" t="str">
            <v>WA2503HZ01LG</v>
          </cell>
          <cell r="BW2811">
            <v>587</v>
          </cell>
        </row>
        <row r="2812">
          <cell r="L2812" t="str">
            <v>WA2503HZ01LG</v>
          </cell>
          <cell r="BW2812">
            <v>129</v>
          </cell>
        </row>
        <row r="2813">
          <cell r="L2813" t="str">
            <v>WA2503HZ01LG</v>
          </cell>
          <cell r="BW2813">
            <v>234</v>
          </cell>
        </row>
        <row r="2814">
          <cell r="L2814" t="str">
            <v>WA2503HZ01LK</v>
          </cell>
          <cell r="BW2814">
            <v>109</v>
          </cell>
        </row>
        <row r="2815">
          <cell r="L2815" t="str">
            <v>WA2503HZ01LK</v>
          </cell>
          <cell r="BW2815">
            <v>196</v>
          </cell>
        </row>
        <row r="2816">
          <cell r="L2816" t="str">
            <v>WA2503HZ01LK</v>
          </cell>
          <cell r="BW2816">
            <v>279</v>
          </cell>
        </row>
        <row r="2817">
          <cell r="L2817" t="str">
            <v>WA2503HZ01LK</v>
          </cell>
          <cell r="BW2817">
            <v>85</v>
          </cell>
        </row>
        <row r="2818">
          <cell r="L2818" t="str">
            <v>WA2503HZ11BK</v>
          </cell>
          <cell r="BW2818">
            <v>105</v>
          </cell>
        </row>
        <row r="2819">
          <cell r="L2819" t="str">
            <v>WA2503HZ11BK</v>
          </cell>
          <cell r="BW2819">
            <v>164</v>
          </cell>
        </row>
        <row r="2820">
          <cell r="L2820" t="str">
            <v>WA2503HZ11BK</v>
          </cell>
          <cell r="BW2820">
            <v>216</v>
          </cell>
        </row>
        <row r="2821">
          <cell r="L2821" t="str">
            <v>WA2503HZ11BK</v>
          </cell>
          <cell r="BW2821">
            <v>58</v>
          </cell>
        </row>
        <row r="2822">
          <cell r="L2822" t="str">
            <v>WA2503HZ11GR</v>
          </cell>
          <cell r="BW2822">
            <v>97</v>
          </cell>
        </row>
        <row r="2823">
          <cell r="L2823" t="str">
            <v>WA2503HZ11GR</v>
          </cell>
          <cell r="BW2823">
            <v>182</v>
          </cell>
        </row>
        <row r="2824">
          <cell r="L2824" t="str">
            <v>WA2503HZ11GR</v>
          </cell>
          <cell r="BW2824">
            <v>158</v>
          </cell>
        </row>
        <row r="2825">
          <cell r="L2825" t="str">
            <v>WA2503HZ11GR</v>
          </cell>
          <cell r="BW2825">
            <v>75</v>
          </cell>
        </row>
        <row r="2826">
          <cell r="L2826" t="str">
            <v>WA2503HZ11KH</v>
          </cell>
          <cell r="BW2826">
            <v>138</v>
          </cell>
        </row>
        <row r="2827">
          <cell r="L2827" t="str">
            <v>WA2503HZ11KH</v>
          </cell>
          <cell r="BW2827">
            <v>230</v>
          </cell>
        </row>
        <row r="2828">
          <cell r="L2828" t="str">
            <v>WA2503HZ11KH</v>
          </cell>
          <cell r="BW2828">
            <v>196</v>
          </cell>
        </row>
        <row r="2829">
          <cell r="L2829" t="str">
            <v>WA2503HZ11KH</v>
          </cell>
          <cell r="BW2829">
            <v>83</v>
          </cell>
        </row>
        <row r="2830">
          <cell r="L2830" t="str">
            <v>WA2503HZ12BK</v>
          </cell>
          <cell r="BW2830">
            <v>97</v>
          </cell>
        </row>
        <row r="2831">
          <cell r="L2831" t="str">
            <v>WA2503HZ12BK</v>
          </cell>
          <cell r="BW2831">
            <v>237</v>
          </cell>
        </row>
        <row r="2832">
          <cell r="L2832" t="str">
            <v>WA2503HZ12BK</v>
          </cell>
          <cell r="BW2832">
            <v>277</v>
          </cell>
        </row>
        <row r="2833">
          <cell r="L2833" t="str">
            <v>WA2503HZ12BK</v>
          </cell>
          <cell r="BW2833">
            <v>52</v>
          </cell>
        </row>
        <row r="2834">
          <cell r="L2834" t="str">
            <v>WA2503HZ12CM</v>
          </cell>
          <cell r="BW2834">
            <v>281</v>
          </cell>
        </row>
        <row r="2835">
          <cell r="L2835" t="str">
            <v>WA2503HZ12CM</v>
          </cell>
          <cell r="BW2835">
            <v>477</v>
          </cell>
        </row>
        <row r="2836">
          <cell r="L2836" t="str">
            <v>WA2503HZ12CM</v>
          </cell>
          <cell r="BW2836">
            <v>472</v>
          </cell>
        </row>
        <row r="2837">
          <cell r="L2837" t="str">
            <v>WA2503HZ12CM</v>
          </cell>
          <cell r="BW2837">
            <v>98</v>
          </cell>
        </row>
        <row r="2838">
          <cell r="L2838" t="str">
            <v>WA2503HZ12CM</v>
          </cell>
          <cell r="BW2838">
            <v>130</v>
          </cell>
        </row>
        <row r="2839">
          <cell r="L2839" t="str">
            <v>WA2503HZ13BL</v>
          </cell>
          <cell r="BW2839">
            <v>56</v>
          </cell>
        </row>
        <row r="2840">
          <cell r="L2840" t="str">
            <v>WA2503HZ13BL</v>
          </cell>
          <cell r="BW2840">
            <v>117</v>
          </cell>
        </row>
        <row r="2841">
          <cell r="L2841" t="str">
            <v>WA2503HZ13BL</v>
          </cell>
          <cell r="BW2841">
            <v>135</v>
          </cell>
        </row>
        <row r="2842">
          <cell r="L2842" t="str">
            <v>WA2503HZ13BL</v>
          </cell>
          <cell r="BW2842">
            <v>49</v>
          </cell>
        </row>
        <row r="2843">
          <cell r="L2843" t="str">
            <v>WA2503HZ13CH</v>
          </cell>
          <cell r="BW2843">
            <v>150</v>
          </cell>
        </row>
        <row r="2844">
          <cell r="L2844" t="str">
            <v>WA2503HZ13CH</v>
          </cell>
          <cell r="BW2844">
            <v>321</v>
          </cell>
        </row>
        <row r="2845">
          <cell r="L2845" t="str">
            <v>WA2503HZ13CH</v>
          </cell>
          <cell r="BW2845">
            <v>438</v>
          </cell>
        </row>
        <row r="2846">
          <cell r="L2846" t="str">
            <v>WA2503HZ13CH</v>
          </cell>
          <cell r="BW2846">
            <v>59</v>
          </cell>
        </row>
        <row r="2847">
          <cell r="L2847" t="str">
            <v>WA2503HZ13CH</v>
          </cell>
          <cell r="BW2847">
            <v>165</v>
          </cell>
        </row>
        <row r="2848">
          <cell r="L2848" t="str">
            <v>WA2503HZ13PI</v>
          </cell>
          <cell r="BW2848">
            <v>68</v>
          </cell>
        </row>
        <row r="2849">
          <cell r="L2849" t="str">
            <v>WA2503HZ13PI</v>
          </cell>
          <cell r="BW2849">
            <v>85</v>
          </cell>
        </row>
        <row r="2850">
          <cell r="L2850" t="str">
            <v>WA2503HZ13PI</v>
          </cell>
          <cell r="BW2850">
            <v>106</v>
          </cell>
        </row>
        <row r="2851">
          <cell r="L2851" t="str">
            <v>WA2503HZ13PI</v>
          </cell>
          <cell r="BW2851">
            <v>31</v>
          </cell>
        </row>
        <row r="2852">
          <cell r="L2852" t="str">
            <v>WA2503HZ14CM</v>
          </cell>
          <cell r="BW2852">
            <v>123</v>
          </cell>
        </row>
        <row r="2853">
          <cell r="L2853" t="str">
            <v>WA2503HZ14CM</v>
          </cell>
          <cell r="BW2853">
            <v>172</v>
          </cell>
        </row>
        <row r="2854">
          <cell r="L2854" t="str">
            <v>WA2503HZ14CM</v>
          </cell>
          <cell r="BW2854">
            <v>243</v>
          </cell>
        </row>
        <row r="2855">
          <cell r="L2855" t="str">
            <v>WA2503HZ14CM</v>
          </cell>
          <cell r="BW2855">
            <v>81</v>
          </cell>
        </row>
        <row r="2856">
          <cell r="L2856" t="str">
            <v>WA2503HZ14GR</v>
          </cell>
          <cell r="BW2856">
            <v>229</v>
          </cell>
        </row>
        <row r="2857">
          <cell r="L2857" t="str">
            <v>WA2503HZ14GR</v>
          </cell>
          <cell r="BW2857">
            <v>437</v>
          </cell>
        </row>
        <row r="2858">
          <cell r="L2858" t="str">
            <v>WA2503HZ14GR</v>
          </cell>
          <cell r="BW2858">
            <v>439</v>
          </cell>
        </row>
        <row r="2859">
          <cell r="L2859" t="str">
            <v>WA2503HZ14GR</v>
          </cell>
          <cell r="BW2859">
            <v>102</v>
          </cell>
        </row>
        <row r="2860">
          <cell r="L2860" t="str">
            <v>WA2503HZ15BK</v>
          </cell>
          <cell r="BW2860">
            <v>8</v>
          </cell>
        </row>
        <row r="2861">
          <cell r="L2861" t="str">
            <v>WA2503HZ15BK</v>
          </cell>
          <cell r="BW2861">
            <v>21</v>
          </cell>
        </row>
        <row r="2862">
          <cell r="L2862" t="str">
            <v>WA2503HZ15BK</v>
          </cell>
          <cell r="BW2862">
            <v>45</v>
          </cell>
        </row>
        <row r="2863">
          <cell r="L2863" t="str">
            <v>WA2503HZ15BK</v>
          </cell>
          <cell r="BW2863">
            <v>8</v>
          </cell>
        </row>
        <row r="2864">
          <cell r="L2864" t="str">
            <v>WA2503HZ15NA</v>
          </cell>
          <cell r="BW2864">
            <v>154</v>
          </cell>
        </row>
        <row r="2865">
          <cell r="L2865" t="str">
            <v>WA2503HZ15NA</v>
          </cell>
          <cell r="BW2865">
            <v>285</v>
          </cell>
        </row>
        <row r="2866">
          <cell r="L2866" t="str">
            <v>WA2503HZ15NA</v>
          </cell>
          <cell r="BW2866">
            <v>272</v>
          </cell>
        </row>
        <row r="2867">
          <cell r="L2867" t="str">
            <v>WA2503HZ15NA</v>
          </cell>
          <cell r="BW2867">
            <v>98</v>
          </cell>
        </row>
        <row r="2868">
          <cell r="L2868" t="str">
            <v>WA2503HZ16BK</v>
          </cell>
          <cell r="BW2868">
            <v>92</v>
          </cell>
        </row>
        <row r="2869">
          <cell r="L2869" t="str">
            <v>WA2503HZ16BK</v>
          </cell>
          <cell r="BW2869">
            <v>141</v>
          </cell>
        </row>
        <row r="2870">
          <cell r="L2870" t="str">
            <v>WA2503HZ16BK</v>
          </cell>
          <cell r="BW2870">
            <v>170</v>
          </cell>
        </row>
        <row r="2871">
          <cell r="L2871" t="str">
            <v>WA2503HZ16BK</v>
          </cell>
          <cell r="BW2871">
            <v>52</v>
          </cell>
        </row>
        <row r="2872">
          <cell r="L2872" t="str">
            <v>WA2503HZ16BK</v>
          </cell>
          <cell r="BW2872">
            <v>61</v>
          </cell>
        </row>
        <row r="2873">
          <cell r="L2873" t="str">
            <v>WA2503HZ16GR</v>
          </cell>
          <cell r="BW2873">
            <v>158</v>
          </cell>
        </row>
        <row r="2874">
          <cell r="L2874" t="str">
            <v>WA2503HZ16GR</v>
          </cell>
          <cell r="BW2874">
            <v>223</v>
          </cell>
        </row>
        <row r="2875">
          <cell r="L2875" t="str">
            <v>WA2503HZ16GR</v>
          </cell>
          <cell r="BW2875">
            <v>256</v>
          </cell>
        </row>
        <row r="2876">
          <cell r="L2876" t="str">
            <v>WA2503HZ16GR</v>
          </cell>
          <cell r="BW2876">
            <v>84</v>
          </cell>
        </row>
        <row r="2877">
          <cell r="L2877" t="str">
            <v>WA2503HZ16GR</v>
          </cell>
          <cell r="BW2877">
            <v>84</v>
          </cell>
        </row>
        <row r="2878">
          <cell r="L2878" t="str">
            <v>WA2503HZ17BL</v>
          </cell>
          <cell r="BW2878">
            <v>141</v>
          </cell>
        </row>
        <row r="2879">
          <cell r="L2879" t="str">
            <v>WA2503HZ17BL</v>
          </cell>
          <cell r="BW2879">
            <v>233</v>
          </cell>
        </row>
        <row r="2880">
          <cell r="L2880" t="str">
            <v>WA2503HZ17BL</v>
          </cell>
          <cell r="BW2880">
            <v>202</v>
          </cell>
        </row>
        <row r="2881">
          <cell r="L2881" t="str">
            <v>WA2503HZ17BL</v>
          </cell>
          <cell r="BW2881">
            <v>87</v>
          </cell>
        </row>
        <row r="2882">
          <cell r="L2882" t="str">
            <v>WA2503HZ17KH</v>
          </cell>
          <cell r="BW2882">
            <v>170</v>
          </cell>
        </row>
        <row r="2883">
          <cell r="L2883" t="str">
            <v>WA2503HZ17KH</v>
          </cell>
          <cell r="BW2883">
            <v>208</v>
          </cell>
        </row>
        <row r="2884">
          <cell r="L2884" t="str">
            <v>WA2503HZ17KH</v>
          </cell>
          <cell r="BW2884">
            <v>179</v>
          </cell>
        </row>
        <row r="2885">
          <cell r="L2885" t="str">
            <v>WA2503HZ17KH</v>
          </cell>
          <cell r="BW2885">
            <v>101</v>
          </cell>
        </row>
        <row r="2886">
          <cell r="L2886" t="str">
            <v>WA2503HZ51BK</v>
          </cell>
          <cell r="BW2886">
            <v>73</v>
          </cell>
        </row>
        <row r="2887">
          <cell r="L2887" t="str">
            <v>WA2503HZ51BK</v>
          </cell>
          <cell r="BW2887">
            <v>303</v>
          </cell>
        </row>
        <row r="2888">
          <cell r="L2888" t="str">
            <v>WA2503HZ51BK</v>
          </cell>
          <cell r="BW2888">
            <v>310</v>
          </cell>
        </row>
        <row r="2889">
          <cell r="L2889" t="str">
            <v>WA2503HZ51CM</v>
          </cell>
          <cell r="BW2889">
            <v>72</v>
          </cell>
        </row>
        <row r="2890">
          <cell r="L2890" t="str">
            <v>WA2503HZ51CM</v>
          </cell>
          <cell r="BW2890">
            <v>190</v>
          </cell>
        </row>
        <row r="2891">
          <cell r="L2891" t="str">
            <v>WA2503HZ51CM</v>
          </cell>
          <cell r="BW2891">
            <v>161</v>
          </cell>
        </row>
        <row r="2892">
          <cell r="L2892" t="str">
            <v>WA2503HZ51MI</v>
          </cell>
          <cell r="BW2892">
            <v>19</v>
          </cell>
        </row>
        <row r="2893">
          <cell r="L2893" t="str">
            <v>WA2503HZ51MI</v>
          </cell>
          <cell r="BW2893">
            <v>91</v>
          </cell>
        </row>
        <row r="2894">
          <cell r="L2894" t="str">
            <v>WA2503HZ51MI</v>
          </cell>
          <cell r="BW2894">
            <v>117</v>
          </cell>
        </row>
        <row r="2895">
          <cell r="L2895" t="str">
            <v>WA2503HZ51OT</v>
          </cell>
          <cell r="BW2895">
            <v>137</v>
          </cell>
        </row>
        <row r="2896">
          <cell r="L2896" t="str">
            <v>WA2503HZ51OT</v>
          </cell>
          <cell r="BW2896">
            <v>626</v>
          </cell>
        </row>
        <row r="2897">
          <cell r="L2897" t="str">
            <v>WA2503HZ51OT</v>
          </cell>
          <cell r="BW2897">
            <v>518</v>
          </cell>
        </row>
        <row r="2898">
          <cell r="L2898" t="str">
            <v>WA2503HZ55BL</v>
          </cell>
          <cell r="BW2898">
            <v>22</v>
          </cell>
        </row>
        <row r="2899">
          <cell r="L2899" t="str">
            <v>WA2503HZ55BL</v>
          </cell>
          <cell r="BW2899">
            <v>40</v>
          </cell>
        </row>
        <row r="2900">
          <cell r="L2900" t="str">
            <v>WA2503HZ55BL</v>
          </cell>
          <cell r="BW2900">
            <v>54</v>
          </cell>
        </row>
        <row r="2901">
          <cell r="L2901" t="str">
            <v>WA2503HZ55BR</v>
          </cell>
          <cell r="BW2901">
            <v>56</v>
          </cell>
        </row>
        <row r="2902">
          <cell r="L2902" t="str">
            <v>WA2503HZ55BR</v>
          </cell>
          <cell r="BW2902">
            <v>120</v>
          </cell>
        </row>
        <row r="2903">
          <cell r="L2903" t="str">
            <v>WA2503HZ55BR</v>
          </cell>
          <cell r="BW2903">
            <v>122</v>
          </cell>
        </row>
        <row r="2904">
          <cell r="L2904" t="str">
            <v>WA2503HZ55GR</v>
          </cell>
          <cell r="BW2904">
            <v>104</v>
          </cell>
        </row>
        <row r="2905">
          <cell r="L2905" t="str">
            <v>WA2503HZ55GR</v>
          </cell>
          <cell r="BW2905">
            <v>225</v>
          </cell>
        </row>
        <row r="2906">
          <cell r="L2906" t="str">
            <v>WA2503HZ55GR</v>
          </cell>
          <cell r="BW2906">
            <v>195</v>
          </cell>
        </row>
        <row r="2907">
          <cell r="L2907" t="str">
            <v>WA2503HZ61CM</v>
          </cell>
          <cell r="BW2907">
            <v>4</v>
          </cell>
        </row>
        <row r="2908">
          <cell r="L2908" t="str">
            <v>WA2503HZ61CM</v>
          </cell>
          <cell r="BW2908">
            <v>6</v>
          </cell>
        </row>
        <row r="2909">
          <cell r="L2909" t="str">
            <v>WA2503HZ62DN</v>
          </cell>
          <cell r="BW2909">
            <v>51</v>
          </cell>
        </row>
        <row r="2910">
          <cell r="L2910" t="str">
            <v>WA2503HZ62DN</v>
          </cell>
          <cell r="BW2910">
            <v>148</v>
          </cell>
        </row>
        <row r="2911">
          <cell r="L2911" t="str">
            <v>WA2503HZ62DN</v>
          </cell>
          <cell r="BW2911">
            <v>116</v>
          </cell>
        </row>
        <row r="2912">
          <cell r="L2912" t="str">
            <v>WA2503HZ62OT</v>
          </cell>
          <cell r="BW2912">
            <v>97</v>
          </cell>
        </row>
        <row r="2913">
          <cell r="L2913" t="str">
            <v>WA2503HZ62OT</v>
          </cell>
          <cell r="BW2913">
            <v>276</v>
          </cell>
        </row>
        <row r="2914">
          <cell r="L2914" t="str">
            <v>WA2503HZ62OT</v>
          </cell>
          <cell r="BW2914">
            <v>274</v>
          </cell>
        </row>
        <row r="2915">
          <cell r="L2915" t="str">
            <v>WA2503HZ63CH</v>
          </cell>
          <cell r="BW2915">
            <v>29</v>
          </cell>
        </row>
        <row r="2916">
          <cell r="L2916" t="str">
            <v>WA2503HZ63CH</v>
          </cell>
          <cell r="BW2916">
            <v>39</v>
          </cell>
        </row>
        <row r="2917">
          <cell r="L2917" t="str">
            <v>WA2503HZ63CH</v>
          </cell>
          <cell r="BW2917">
            <v>35</v>
          </cell>
        </row>
        <row r="2918">
          <cell r="L2918" t="str">
            <v>WA2503HZ63CM</v>
          </cell>
          <cell r="BW2918">
            <v>57</v>
          </cell>
        </row>
        <row r="2919">
          <cell r="L2919" t="str">
            <v>WA2503HZ63CM</v>
          </cell>
          <cell r="BW2919">
            <v>168</v>
          </cell>
        </row>
        <row r="2920">
          <cell r="L2920" t="str">
            <v>WA2503HZ63CM</v>
          </cell>
          <cell r="BW2920">
            <v>219</v>
          </cell>
        </row>
        <row r="2921">
          <cell r="L2921" t="str">
            <v>WA2503HZ64BR</v>
          </cell>
          <cell r="BW2921">
            <v>296</v>
          </cell>
        </row>
        <row r="2922">
          <cell r="L2922" t="str">
            <v>WA2503HZ64LG</v>
          </cell>
          <cell r="BW2922">
            <v>93</v>
          </cell>
        </row>
        <row r="2923">
          <cell r="L2923" t="str">
            <v>WA2503HZ64YE</v>
          </cell>
          <cell r="BW2923">
            <v>277</v>
          </cell>
        </row>
        <row r="2924">
          <cell r="L2924" t="str">
            <v>WA2503HZ65CM</v>
          </cell>
          <cell r="BW2924">
            <v>418</v>
          </cell>
        </row>
        <row r="2925">
          <cell r="L2925" t="str">
            <v>WA2503HZ65PI</v>
          </cell>
          <cell r="BW2925">
            <v>251</v>
          </cell>
        </row>
        <row r="2926">
          <cell r="L2926" t="str">
            <v>WA2503HZ81BK</v>
          </cell>
          <cell r="BW2926">
            <v>40</v>
          </cell>
        </row>
        <row r="2927">
          <cell r="L2927" t="str">
            <v>WA2503HZ81BK</v>
          </cell>
          <cell r="BW2927">
            <v>45</v>
          </cell>
        </row>
        <row r="2928">
          <cell r="L2928" t="str">
            <v>WA2503HZ81BK</v>
          </cell>
          <cell r="BW2928">
            <v>101</v>
          </cell>
        </row>
        <row r="2929">
          <cell r="L2929" t="str">
            <v>WA2503HZ81LG</v>
          </cell>
          <cell r="BW2929">
            <v>31</v>
          </cell>
        </row>
        <row r="2930">
          <cell r="L2930" t="str">
            <v>WA2503HZ81LG</v>
          </cell>
          <cell r="BW2930">
            <v>52</v>
          </cell>
        </row>
        <row r="2931">
          <cell r="L2931" t="str">
            <v>WA2503HZ81LG</v>
          </cell>
          <cell r="BW2931">
            <v>100</v>
          </cell>
        </row>
        <row r="2932">
          <cell r="L2932" t="str">
            <v>WA2503HZ81LK</v>
          </cell>
          <cell r="BW2932">
            <v>27</v>
          </cell>
        </row>
        <row r="2933">
          <cell r="L2933" t="str">
            <v>WA2503HZ81LK</v>
          </cell>
          <cell r="BW2933">
            <v>28</v>
          </cell>
        </row>
        <row r="2934">
          <cell r="L2934" t="str">
            <v>WA2503HZ81LK</v>
          </cell>
          <cell r="BW2934">
            <v>82</v>
          </cell>
        </row>
        <row r="2935">
          <cell r="L2935" t="str">
            <v>WA2503HZO1BK</v>
          </cell>
          <cell r="BW2935">
            <v>4</v>
          </cell>
        </row>
        <row r="2936">
          <cell r="L2936" t="str">
            <v>WA2503HZO1BK</v>
          </cell>
          <cell r="BW2936">
            <v>94</v>
          </cell>
        </row>
        <row r="2937">
          <cell r="L2937" t="str">
            <v>WA2503HZO1BK</v>
          </cell>
          <cell r="BW2937">
            <v>357</v>
          </cell>
        </row>
        <row r="2938">
          <cell r="L2938" t="str">
            <v>WA2503HZO1BK</v>
          </cell>
          <cell r="BW2938">
            <v>2</v>
          </cell>
        </row>
        <row r="2939">
          <cell r="L2939" t="str">
            <v>WA2503HZO1BK</v>
          </cell>
          <cell r="BW2939">
            <v>5</v>
          </cell>
        </row>
        <row r="2940">
          <cell r="L2940" t="str">
            <v>WA2503HZO1BK</v>
          </cell>
          <cell r="BW2940">
            <v>1</v>
          </cell>
        </row>
        <row r="2941">
          <cell r="L2941" t="str">
            <v>WA2503HZO1GN</v>
          </cell>
          <cell r="BW2941">
            <v>185</v>
          </cell>
        </row>
        <row r="2942">
          <cell r="L2942" t="str">
            <v>WA2503HZO1GN</v>
          </cell>
          <cell r="BW2942">
            <v>248</v>
          </cell>
        </row>
        <row r="2943">
          <cell r="L2943" t="str">
            <v>WA2503HZO1GN</v>
          </cell>
          <cell r="BW2943">
            <v>305</v>
          </cell>
        </row>
        <row r="2944">
          <cell r="L2944" t="str">
            <v>WA2503HZO1GN</v>
          </cell>
          <cell r="BW2944">
            <v>93</v>
          </cell>
        </row>
        <row r="2945">
          <cell r="L2945" t="str">
            <v>WA2503HZO1GR</v>
          </cell>
          <cell r="BW2945">
            <v>148</v>
          </cell>
        </row>
        <row r="2946">
          <cell r="L2946" t="str">
            <v>WA2503HZO1GR</v>
          </cell>
          <cell r="BW2946">
            <v>279</v>
          </cell>
        </row>
        <row r="2947">
          <cell r="L2947" t="str">
            <v>WA2503HZO1GR</v>
          </cell>
          <cell r="BW2947">
            <v>602</v>
          </cell>
        </row>
        <row r="2948">
          <cell r="L2948" t="str">
            <v>WA2503HZO1GR</v>
          </cell>
          <cell r="BW2948">
            <v>170</v>
          </cell>
        </row>
        <row r="2949">
          <cell r="L2949" t="str">
            <v>WA2503HZO1GR</v>
          </cell>
          <cell r="BW2949">
            <v>36</v>
          </cell>
        </row>
        <row r="2950">
          <cell r="L2950" t="str">
            <v>WA2503HZO1GR</v>
          </cell>
          <cell r="BW2950">
            <v>45</v>
          </cell>
        </row>
        <row r="2951">
          <cell r="L2951" t="str">
            <v>WA2503HZO1LG</v>
          </cell>
          <cell r="BW2951">
            <v>450</v>
          </cell>
        </row>
        <row r="2952">
          <cell r="L2952" t="str">
            <v>WA2503HZO1LG</v>
          </cell>
          <cell r="BW2952">
            <v>699</v>
          </cell>
        </row>
        <row r="2953">
          <cell r="L2953" t="str">
            <v>WA2503HZO1LG</v>
          </cell>
          <cell r="BW2953">
            <v>819</v>
          </cell>
        </row>
        <row r="2954">
          <cell r="L2954" t="str">
            <v>WA2503HZO1LG</v>
          </cell>
          <cell r="BW2954">
            <v>356</v>
          </cell>
        </row>
        <row r="2955">
          <cell r="L2955" t="str">
            <v>WA2503HZO1LG</v>
          </cell>
          <cell r="BW2955">
            <v>73</v>
          </cell>
        </row>
        <row r="2956">
          <cell r="L2956" t="str">
            <v>WA2503HZO1LG</v>
          </cell>
          <cell r="BW2956">
            <v>127</v>
          </cell>
        </row>
        <row r="2957">
          <cell r="L2957" t="str">
            <v>WA2503HZO2BE</v>
          </cell>
          <cell r="BW2957">
            <v>28</v>
          </cell>
        </row>
        <row r="2958">
          <cell r="L2958" t="str">
            <v>WA2503HZO2BE</v>
          </cell>
          <cell r="BW2958">
            <v>34</v>
          </cell>
        </row>
        <row r="2959">
          <cell r="L2959" t="str">
            <v>WA2503HZO2BE</v>
          </cell>
          <cell r="BW2959">
            <v>45</v>
          </cell>
        </row>
        <row r="2960">
          <cell r="L2960" t="str">
            <v>WA2503HZO2BE</v>
          </cell>
          <cell r="BW2960">
            <v>19</v>
          </cell>
        </row>
        <row r="2961">
          <cell r="L2961" t="str">
            <v>WA2503HZO2BK</v>
          </cell>
          <cell r="BW2961">
            <v>69</v>
          </cell>
        </row>
        <row r="2962">
          <cell r="L2962" t="str">
            <v>WA2503HZO2BK</v>
          </cell>
          <cell r="BW2962">
            <v>74</v>
          </cell>
        </row>
        <row r="2963">
          <cell r="L2963" t="str">
            <v>WA2503HZO2BK</v>
          </cell>
          <cell r="BW2963">
            <v>67</v>
          </cell>
        </row>
        <row r="2964">
          <cell r="L2964" t="str">
            <v>WA2503HZO2BK</v>
          </cell>
          <cell r="BW2964">
            <v>41</v>
          </cell>
        </row>
        <row r="2965">
          <cell r="L2965" t="str">
            <v>WA2503HZO2GR</v>
          </cell>
          <cell r="BW2965">
            <v>44</v>
          </cell>
        </row>
        <row r="2966">
          <cell r="L2966" t="str">
            <v>WA2503HZO2GR</v>
          </cell>
          <cell r="BW2966">
            <v>50</v>
          </cell>
        </row>
        <row r="2967">
          <cell r="L2967" t="str">
            <v>WA2503HZO2GR</v>
          </cell>
          <cell r="BW2967">
            <v>57</v>
          </cell>
        </row>
        <row r="2968">
          <cell r="L2968" t="str">
            <v>WA2503HZO2GR</v>
          </cell>
          <cell r="BW2968">
            <v>14</v>
          </cell>
        </row>
        <row r="2969">
          <cell r="L2969" t="str">
            <v>WA2503HZO3GR</v>
          </cell>
          <cell r="BW2969">
            <v>113</v>
          </cell>
        </row>
        <row r="2970">
          <cell r="L2970" t="str">
            <v>WA2503HZO3GR</v>
          </cell>
          <cell r="BW2970">
            <v>116</v>
          </cell>
        </row>
        <row r="2971">
          <cell r="L2971" t="str">
            <v>WA2503HZO3GR</v>
          </cell>
          <cell r="BW2971">
            <v>91</v>
          </cell>
        </row>
        <row r="2972">
          <cell r="L2972" t="str">
            <v>WA2503HZO3GR</v>
          </cell>
          <cell r="BW2972">
            <v>53</v>
          </cell>
        </row>
        <row r="2973">
          <cell r="L2973" t="str">
            <v>WA2503HZO3NA</v>
          </cell>
          <cell r="BW2973">
            <v>99</v>
          </cell>
        </row>
        <row r="2974">
          <cell r="L2974" t="str">
            <v>WA2503HZO3NA</v>
          </cell>
          <cell r="BW2974">
            <v>123</v>
          </cell>
        </row>
        <row r="2975">
          <cell r="L2975" t="str">
            <v>WA2503HZO3NA</v>
          </cell>
          <cell r="BW2975">
            <v>136</v>
          </cell>
        </row>
        <row r="2976">
          <cell r="L2976" t="str">
            <v>WA2503HZO3NA</v>
          </cell>
          <cell r="BW2976">
            <v>38</v>
          </cell>
        </row>
        <row r="2977">
          <cell r="L2977" t="str">
            <v>WA2503JK01BK</v>
          </cell>
          <cell r="BW2977">
            <v>204</v>
          </cell>
        </row>
        <row r="2978">
          <cell r="L2978" t="str">
            <v>WA2503JK01BK</v>
          </cell>
          <cell r="BW2978">
            <v>301</v>
          </cell>
        </row>
        <row r="2979">
          <cell r="L2979" t="str">
            <v>WA2503JK01BK</v>
          </cell>
          <cell r="BW2979">
            <v>703</v>
          </cell>
        </row>
        <row r="2980">
          <cell r="L2980" t="str">
            <v>WA2503JK01BK</v>
          </cell>
          <cell r="BW2980">
            <v>55</v>
          </cell>
        </row>
        <row r="2981">
          <cell r="L2981" t="str">
            <v>WA2503JK01BK</v>
          </cell>
          <cell r="BW2981">
            <v>130</v>
          </cell>
        </row>
        <row r="2982">
          <cell r="L2982" t="str">
            <v>WA2503JK01CM</v>
          </cell>
          <cell r="BW2982">
            <v>372</v>
          </cell>
        </row>
        <row r="2983">
          <cell r="L2983" t="str">
            <v>WA2503JK01CM</v>
          </cell>
          <cell r="BW2983">
            <v>548</v>
          </cell>
        </row>
        <row r="2984">
          <cell r="L2984" t="str">
            <v>WA2503JK01CM</v>
          </cell>
          <cell r="BW2984">
            <v>1032</v>
          </cell>
        </row>
        <row r="2985">
          <cell r="L2985" t="str">
            <v>WA2503JK01CM</v>
          </cell>
          <cell r="BW2985">
            <v>230</v>
          </cell>
        </row>
        <row r="2986">
          <cell r="L2986" t="str">
            <v>WA2503JK01CM</v>
          </cell>
          <cell r="BW2986">
            <v>335</v>
          </cell>
        </row>
        <row r="2987">
          <cell r="L2987" t="str">
            <v>WA2503JK01KH</v>
          </cell>
          <cell r="BW2987">
            <v>134</v>
          </cell>
        </row>
        <row r="2988">
          <cell r="L2988" t="str">
            <v>WA2503JK01KH</v>
          </cell>
          <cell r="BW2988">
            <v>163</v>
          </cell>
        </row>
        <row r="2989">
          <cell r="L2989" t="str">
            <v>WA2503JK01KH</v>
          </cell>
          <cell r="BW2989">
            <v>217</v>
          </cell>
        </row>
        <row r="2990">
          <cell r="L2990" t="str">
            <v>WA2503JK01KH</v>
          </cell>
          <cell r="BW2990">
            <v>57</v>
          </cell>
        </row>
        <row r="2991">
          <cell r="L2991" t="str">
            <v>WA2503JK02BE</v>
          </cell>
          <cell r="BW2991">
            <v>76</v>
          </cell>
        </row>
        <row r="2992">
          <cell r="L2992" t="str">
            <v>WA2503JK02BE</v>
          </cell>
          <cell r="BW2992">
            <v>27</v>
          </cell>
        </row>
        <row r="2993">
          <cell r="L2993" t="str">
            <v>WA2503JK02BE</v>
          </cell>
          <cell r="BW2993">
            <v>44</v>
          </cell>
        </row>
        <row r="2994">
          <cell r="L2994" t="str">
            <v>WA2503JK02BE</v>
          </cell>
          <cell r="BW2994">
            <v>109</v>
          </cell>
        </row>
        <row r="2995">
          <cell r="L2995" t="str">
            <v>WA2503JK02BK</v>
          </cell>
          <cell r="BW2995">
            <v>209</v>
          </cell>
        </row>
        <row r="2996">
          <cell r="L2996" t="str">
            <v>WA2503JK02BK</v>
          </cell>
          <cell r="BW2996">
            <v>329</v>
          </cell>
        </row>
        <row r="2997">
          <cell r="L2997" t="str">
            <v>WA2503JK02BK</v>
          </cell>
          <cell r="BW2997">
            <v>377</v>
          </cell>
        </row>
        <row r="2998">
          <cell r="L2998" t="str">
            <v>WA2503JK02BK</v>
          </cell>
          <cell r="BW2998">
            <v>199</v>
          </cell>
        </row>
        <row r="2999">
          <cell r="L2999" t="str">
            <v>WA2503JK02CM</v>
          </cell>
          <cell r="BW2999">
            <v>131</v>
          </cell>
        </row>
        <row r="3000">
          <cell r="L3000" t="str">
            <v>WA2503JK02CM</v>
          </cell>
          <cell r="BW3000">
            <v>200</v>
          </cell>
        </row>
        <row r="3001">
          <cell r="L3001" t="str">
            <v>WA2503JK02CM</v>
          </cell>
          <cell r="BW3001">
            <v>258</v>
          </cell>
        </row>
        <row r="3002">
          <cell r="L3002" t="str">
            <v>WA2503JK02CM</v>
          </cell>
          <cell r="BW3002">
            <v>88</v>
          </cell>
        </row>
        <row r="3003">
          <cell r="L3003" t="str">
            <v>WA2503JK11BK</v>
          </cell>
          <cell r="BW3003">
            <v>235</v>
          </cell>
        </row>
        <row r="3004">
          <cell r="L3004" t="str">
            <v>WA2503JK11BK</v>
          </cell>
          <cell r="BW3004">
            <v>275</v>
          </cell>
        </row>
        <row r="3005">
          <cell r="L3005" t="str">
            <v>WA2503JK11BK</v>
          </cell>
          <cell r="BW3005">
            <v>290</v>
          </cell>
        </row>
        <row r="3006">
          <cell r="L3006" t="str">
            <v>WA2503JK11BK</v>
          </cell>
          <cell r="BW3006">
            <v>96</v>
          </cell>
        </row>
        <row r="3007">
          <cell r="L3007" t="str">
            <v>WA2503JK11GR</v>
          </cell>
          <cell r="BW3007">
            <v>80</v>
          </cell>
        </row>
        <row r="3008">
          <cell r="L3008" t="str">
            <v>WA2503JK11GR</v>
          </cell>
          <cell r="BW3008">
            <v>151</v>
          </cell>
        </row>
        <row r="3009">
          <cell r="L3009" t="str">
            <v>WA2503JK11GR</v>
          </cell>
          <cell r="BW3009">
            <v>194</v>
          </cell>
        </row>
        <row r="3010">
          <cell r="L3010" t="str">
            <v>WA2503JK11GR</v>
          </cell>
          <cell r="BW3010">
            <v>46</v>
          </cell>
        </row>
        <row r="3011">
          <cell r="L3011" t="str">
            <v>WA2503JK11TC</v>
          </cell>
          <cell r="BW3011">
            <v>116</v>
          </cell>
        </row>
        <row r="3012">
          <cell r="L3012" t="str">
            <v>WA2503JK11TC</v>
          </cell>
          <cell r="BW3012">
            <v>131</v>
          </cell>
        </row>
        <row r="3013">
          <cell r="L3013" t="str">
            <v>WA2503JK11TC</v>
          </cell>
          <cell r="BW3013">
            <v>116</v>
          </cell>
        </row>
        <row r="3014">
          <cell r="L3014" t="str">
            <v>WA2503JK11TC</v>
          </cell>
          <cell r="BW3014">
            <v>63</v>
          </cell>
        </row>
        <row r="3015">
          <cell r="L3015" t="str">
            <v>WA2503JK12BE</v>
          </cell>
          <cell r="BW3015">
            <v>99</v>
          </cell>
        </row>
        <row r="3016">
          <cell r="L3016" t="str">
            <v>WA2503JK12BE</v>
          </cell>
          <cell r="BW3016">
            <v>164</v>
          </cell>
        </row>
        <row r="3017">
          <cell r="L3017" t="str">
            <v>WA2503JK12BE</v>
          </cell>
          <cell r="BW3017">
            <v>115</v>
          </cell>
        </row>
        <row r="3018">
          <cell r="L3018" t="str">
            <v>WA2503JK12BE</v>
          </cell>
          <cell r="BW3018">
            <v>71</v>
          </cell>
        </row>
        <row r="3019">
          <cell r="L3019" t="str">
            <v>WA2503JK12BK</v>
          </cell>
          <cell r="BW3019">
            <v>113</v>
          </cell>
        </row>
        <row r="3020">
          <cell r="L3020" t="str">
            <v>WA2503JK12BK</v>
          </cell>
          <cell r="BW3020">
            <v>186</v>
          </cell>
        </row>
        <row r="3021">
          <cell r="L3021" t="str">
            <v>WA2503JK12BK</v>
          </cell>
          <cell r="BW3021">
            <v>162</v>
          </cell>
        </row>
        <row r="3022">
          <cell r="L3022" t="str">
            <v>WA2503JK12BK</v>
          </cell>
          <cell r="BW3022">
            <v>78</v>
          </cell>
        </row>
        <row r="3023">
          <cell r="L3023" t="str">
            <v>WA2503JK13CM</v>
          </cell>
          <cell r="BW3023">
            <v>172</v>
          </cell>
        </row>
        <row r="3024">
          <cell r="L3024" t="str">
            <v>WA2503JK13CM</v>
          </cell>
          <cell r="BW3024">
            <v>90</v>
          </cell>
        </row>
        <row r="3025">
          <cell r="L3025" t="str">
            <v>WA2503JK14BK</v>
          </cell>
          <cell r="BW3025">
            <v>17</v>
          </cell>
        </row>
        <row r="3026">
          <cell r="L3026" t="str">
            <v>WA2503JK14BK</v>
          </cell>
          <cell r="BW3026">
            <v>53</v>
          </cell>
        </row>
        <row r="3027">
          <cell r="L3027" t="str">
            <v>WA2503JK14BK</v>
          </cell>
          <cell r="BW3027">
            <v>80</v>
          </cell>
        </row>
        <row r="3028">
          <cell r="L3028" t="str">
            <v>WA2503JK14BK</v>
          </cell>
          <cell r="BW3028">
            <v>19</v>
          </cell>
        </row>
        <row r="3029">
          <cell r="L3029" t="str">
            <v>WA2503JK14CM</v>
          </cell>
          <cell r="BW3029">
            <v>103</v>
          </cell>
        </row>
        <row r="3030">
          <cell r="L3030" t="str">
            <v>WA2503JK14CM</v>
          </cell>
          <cell r="BW3030">
            <v>167</v>
          </cell>
        </row>
        <row r="3031">
          <cell r="L3031" t="str">
            <v>WA2503JK14CM</v>
          </cell>
          <cell r="BW3031">
            <v>213</v>
          </cell>
        </row>
        <row r="3032">
          <cell r="L3032" t="str">
            <v>WA2503JK14CM</v>
          </cell>
          <cell r="BW3032">
            <v>50</v>
          </cell>
        </row>
        <row r="3033">
          <cell r="L3033" t="str">
            <v>WA2503JK15BK</v>
          </cell>
          <cell r="BW3033">
            <v>284</v>
          </cell>
        </row>
        <row r="3034">
          <cell r="L3034" t="str">
            <v>WA2503JK15BK</v>
          </cell>
          <cell r="BW3034">
            <v>256</v>
          </cell>
        </row>
        <row r="3035">
          <cell r="L3035" t="str">
            <v>WA2503JK15BK</v>
          </cell>
          <cell r="BW3035">
            <v>194</v>
          </cell>
        </row>
        <row r="3036">
          <cell r="L3036" t="str">
            <v>WA2503JK15BK</v>
          </cell>
          <cell r="BW3036">
            <v>121</v>
          </cell>
        </row>
        <row r="3037">
          <cell r="L3037" t="str">
            <v>WA2503JK15BR</v>
          </cell>
          <cell r="BW3037">
            <v>64</v>
          </cell>
        </row>
        <row r="3038">
          <cell r="L3038" t="str">
            <v>WA2503JK15BR</v>
          </cell>
          <cell r="BW3038">
            <v>114</v>
          </cell>
        </row>
        <row r="3039">
          <cell r="L3039" t="str">
            <v>WA2503JK15BR</v>
          </cell>
          <cell r="BW3039">
            <v>108</v>
          </cell>
        </row>
        <row r="3040">
          <cell r="L3040" t="str">
            <v>WA2503JK15BR</v>
          </cell>
          <cell r="BW3040">
            <v>42</v>
          </cell>
        </row>
        <row r="3041">
          <cell r="L3041" t="str">
            <v>WA2503JK15TC</v>
          </cell>
          <cell r="BW3041">
            <v>114</v>
          </cell>
        </row>
        <row r="3042">
          <cell r="L3042" t="str">
            <v>WA2503JK15TC</v>
          </cell>
          <cell r="BW3042">
            <v>213</v>
          </cell>
        </row>
        <row r="3043">
          <cell r="L3043" t="str">
            <v>WA2503JK15TC</v>
          </cell>
          <cell r="BW3043">
            <v>181</v>
          </cell>
        </row>
        <row r="3044">
          <cell r="L3044" t="str">
            <v>WA2503JK15TC</v>
          </cell>
          <cell r="BW3044">
            <v>54</v>
          </cell>
        </row>
        <row r="3045">
          <cell r="L3045" t="str">
            <v>WA2503JK31BK</v>
          </cell>
          <cell r="BW3045">
            <v>127</v>
          </cell>
        </row>
        <row r="3046">
          <cell r="L3046" t="str">
            <v>WA2503JK31BK</v>
          </cell>
          <cell r="BW3046">
            <v>197</v>
          </cell>
        </row>
        <row r="3047">
          <cell r="L3047" t="str">
            <v>WA2503JK31BK</v>
          </cell>
          <cell r="BW3047">
            <v>113</v>
          </cell>
        </row>
        <row r="3048">
          <cell r="L3048" t="str">
            <v>WA2503JK31BL</v>
          </cell>
          <cell r="BW3048">
            <v>134</v>
          </cell>
        </row>
        <row r="3049">
          <cell r="L3049" t="str">
            <v>WA2503JK31BL</v>
          </cell>
          <cell r="BW3049">
            <v>205</v>
          </cell>
        </row>
        <row r="3050">
          <cell r="L3050" t="str">
            <v>WA2503JK31BL</v>
          </cell>
          <cell r="BW3050">
            <v>113</v>
          </cell>
        </row>
        <row r="3051">
          <cell r="L3051" t="str">
            <v>WA2503JK32BL</v>
          </cell>
          <cell r="BW3051">
            <v>33</v>
          </cell>
        </row>
        <row r="3052">
          <cell r="L3052" t="str">
            <v>WA2503JK32BL</v>
          </cell>
          <cell r="BW3052">
            <v>91</v>
          </cell>
        </row>
        <row r="3053">
          <cell r="L3053" t="str">
            <v>WA2503JK33BE</v>
          </cell>
          <cell r="BW3053">
            <v>79</v>
          </cell>
        </row>
        <row r="3054">
          <cell r="L3054" t="str">
            <v>WA2503JK33BE</v>
          </cell>
          <cell r="BW3054">
            <v>155</v>
          </cell>
        </row>
        <row r="3055">
          <cell r="L3055" t="str">
            <v>WA2503JK33BE</v>
          </cell>
          <cell r="BW3055">
            <v>86</v>
          </cell>
        </row>
        <row r="3056">
          <cell r="L3056" t="str">
            <v>WA2503JK33BL</v>
          </cell>
          <cell r="BW3056">
            <v>116</v>
          </cell>
        </row>
        <row r="3057">
          <cell r="L3057" t="str">
            <v>WA2503JK33BL</v>
          </cell>
          <cell r="BW3057">
            <v>188</v>
          </cell>
        </row>
        <row r="3058">
          <cell r="L3058" t="str">
            <v>WA2503JK33BL</v>
          </cell>
          <cell r="BW3058">
            <v>109</v>
          </cell>
        </row>
        <row r="3059">
          <cell r="L3059" t="str">
            <v>WA2503JK34BK</v>
          </cell>
          <cell r="BW3059">
            <v>133</v>
          </cell>
        </row>
        <row r="3060">
          <cell r="L3060" t="str">
            <v>WA2503JK34BK</v>
          </cell>
          <cell r="BW3060">
            <v>263</v>
          </cell>
        </row>
        <row r="3061">
          <cell r="L3061" t="str">
            <v>WA2503JK34BK</v>
          </cell>
          <cell r="BW3061">
            <v>125</v>
          </cell>
        </row>
        <row r="3062">
          <cell r="L3062" t="str">
            <v>WA2503JK34BL</v>
          </cell>
          <cell r="BW3062">
            <v>160</v>
          </cell>
        </row>
        <row r="3063">
          <cell r="L3063" t="str">
            <v>WA2503JK34BL</v>
          </cell>
          <cell r="BW3063">
            <v>269</v>
          </cell>
        </row>
        <row r="3064">
          <cell r="L3064" t="str">
            <v>WA2503JK34BL</v>
          </cell>
          <cell r="BW3064">
            <v>155</v>
          </cell>
        </row>
        <row r="3065">
          <cell r="L3065" t="str">
            <v>WA2503JK51CM</v>
          </cell>
          <cell r="BW3065">
            <v>234</v>
          </cell>
        </row>
        <row r="3066">
          <cell r="L3066" t="str">
            <v>WA2503JK61BE</v>
          </cell>
          <cell r="BW3066">
            <v>132</v>
          </cell>
        </row>
        <row r="3067">
          <cell r="L3067" t="str">
            <v>WA2503JK61BE</v>
          </cell>
          <cell r="BW3067">
            <v>127</v>
          </cell>
        </row>
        <row r="3068">
          <cell r="L3068" t="str">
            <v>WA2503JK61DN</v>
          </cell>
          <cell r="BW3068">
            <v>203</v>
          </cell>
        </row>
        <row r="3069">
          <cell r="L3069" t="str">
            <v>WA2503JK61DN</v>
          </cell>
          <cell r="BW3069">
            <v>178</v>
          </cell>
        </row>
        <row r="3070">
          <cell r="L3070" t="str">
            <v>WA2503JK62BR</v>
          </cell>
          <cell r="BW3070">
            <v>105</v>
          </cell>
        </row>
        <row r="3071">
          <cell r="L3071" t="str">
            <v>WA2503JK63CE</v>
          </cell>
          <cell r="BW3071">
            <v>56</v>
          </cell>
        </row>
        <row r="3072">
          <cell r="L3072" t="str">
            <v>WA2503JK64CM</v>
          </cell>
          <cell r="BW3072">
            <v>14</v>
          </cell>
        </row>
        <row r="3073">
          <cell r="L3073" t="str">
            <v>WA2503JK65BK</v>
          </cell>
          <cell r="BW3073">
            <v>46</v>
          </cell>
        </row>
        <row r="3074">
          <cell r="L3074" t="str">
            <v>WA2503JK65BK</v>
          </cell>
          <cell r="BW3074">
            <v>176</v>
          </cell>
        </row>
        <row r="3075">
          <cell r="L3075" t="str">
            <v>WA2503JK65BR</v>
          </cell>
          <cell r="BW3075">
            <v>9</v>
          </cell>
        </row>
        <row r="3076">
          <cell r="L3076" t="str">
            <v>WA2503JK65BR</v>
          </cell>
          <cell r="BW3076">
            <v>32</v>
          </cell>
        </row>
        <row r="3077">
          <cell r="L3077" t="str">
            <v>WA2503JK65CM</v>
          </cell>
          <cell r="BW3077">
            <v>39</v>
          </cell>
        </row>
        <row r="3078">
          <cell r="L3078" t="str">
            <v>WA2503JK65CM</v>
          </cell>
          <cell r="BW3078">
            <v>171</v>
          </cell>
        </row>
        <row r="3079">
          <cell r="L3079" t="str">
            <v>WA2503JK66BE</v>
          </cell>
          <cell r="BW3079">
            <v>51</v>
          </cell>
        </row>
        <row r="3080">
          <cell r="L3080" t="str">
            <v>WA2503JK66BE</v>
          </cell>
          <cell r="BW3080">
            <v>57</v>
          </cell>
        </row>
        <row r="3081">
          <cell r="L3081" t="str">
            <v>WA2503JK66BR</v>
          </cell>
          <cell r="BW3081">
            <v>16</v>
          </cell>
        </row>
        <row r="3082">
          <cell r="L3082" t="str">
            <v>WA2503JK66BR</v>
          </cell>
          <cell r="BW3082">
            <v>35</v>
          </cell>
        </row>
        <row r="3083">
          <cell r="L3083" t="str">
            <v>WA2503JK75LB</v>
          </cell>
          <cell r="BW3083">
            <v>194</v>
          </cell>
        </row>
        <row r="3084">
          <cell r="L3084" t="str">
            <v>WA2503JK76BK</v>
          </cell>
          <cell r="BW3084">
            <v>171</v>
          </cell>
        </row>
        <row r="3085">
          <cell r="L3085" t="str">
            <v>WA2503JK77BK</v>
          </cell>
          <cell r="BW3085">
            <v>345</v>
          </cell>
        </row>
        <row r="3086">
          <cell r="L3086" t="str">
            <v>WA2503JK77BL</v>
          </cell>
          <cell r="BW3086">
            <v>286</v>
          </cell>
        </row>
        <row r="3087">
          <cell r="L3087" t="str">
            <v>WA2503KT01GR</v>
          </cell>
          <cell r="BW3087">
            <v>101</v>
          </cell>
        </row>
        <row r="3088">
          <cell r="L3088" t="str">
            <v>WA2503KT01GR</v>
          </cell>
          <cell r="BW3088">
            <v>143</v>
          </cell>
        </row>
        <row r="3089">
          <cell r="L3089" t="str">
            <v>WA2503KT01GR</v>
          </cell>
          <cell r="BW3089">
            <v>143</v>
          </cell>
        </row>
        <row r="3090">
          <cell r="L3090" t="str">
            <v>WA2503KT01GR</v>
          </cell>
          <cell r="BW3090">
            <v>53</v>
          </cell>
        </row>
        <row r="3091">
          <cell r="L3091" t="str">
            <v>WA2503KT01OR</v>
          </cell>
          <cell r="BW3091">
            <v>39</v>
          </cell>
        </row>
        <row r="3092">
          <cell r="L3092" t="str">
            <v>WA2503KT01OR</v>
          </cell>
          <cell r="BW3092">
            <v>108</v>
          </cell>
        </row>
        <row r="3093">
          <cell r="L3093" t="str">
            <v>WA2503KT11BL</v>
          </cell>
          <cell r="BW3093">
            <v>41</v>
          </cell>
        </row>
        <row r="3094">
          <cell r="L3094" t="str">
            <v>WA2503KT11BL</v>
          </cell>
          <cell r="BW3094">
            <v>151</v>
          </cell>
        </row>
        <row r="3095">
          <cell r="L3095" t="str">
            <v>WA2503KT11GR</v>
          </cell>
          <cell r="BW3095">
            <v>68</v>
          </cell>
        </row>
        <row r="3096">
          <cell r="L3096" t="str">
            <v>WA2503KT11GR</v>
          </cell>
          <cell r="BW3096">
            <v>124</v>
          </cell>
        </row>
        <row r="3097">
          <cell r="L3097" t="str">
            <v>WA2503KT11GR</v>
          </cell>
          <cell r="BW3097">
            <v>104</v>
          </cell>
        </row>
        <row r="3098">
          <cell r="L3098" t="str">
            <v>WA2503KT11GR</v>
          </cell>
          <cell r="BW3098">
            <v>54</v>
          </cell>
        </row>
        <row r="3099">
          <cell r="L3099" t="str">
            <v>WA2503KT12BK</v>
          </cell>
          <cell r="BW3099">
            <v>72</v>
          </cell>
        </row>
        <row r="3100">
          <cell r="L3100" t="str">
            <v>WA2503KT12BK</v>
          </cell>
          <cell r="BW3100">
            <v>87</v>
          </cell>
        </row>
        <row r="3101">
          <cell r="L3101" t="str">
            <v>WA2503KT12BK</v>
          </cell>
          <cell r="BW3101">
            <v>82</v>
          </cell>
        </row>
        <row r="3102">
          <cell r="L3102" t="str">
            <v>WA2503KT12BK</v>
          </cell>
          <cell r="BW3102">
            <v>45</v>
          </cell>
        </row>
        <row r="3103">
          <cell r="L3103" t="str">
            <v>WA2503KT12CM</v>
          </cell>
          <cell r="BW3103">
            <v>40</v>
          </cell>
        </row>
        <row r="3104">
          <cell r="L3104" t="str">
            <v>WA2503KT12CM</v>
          </cell>
          <cell r="BW3104">
            <v>35</v>
          </cell>
        </row>
        <row r="3105">
          <cell r="L3105" t="str">
            <v>WA2503KT12CM</v>
          </cell>
          <cell r="BW3105">
            <v>36</v>
          </cell>
        </row>
        <row r="3106">
          <cell r="L3106" t="str">
            <v>WA2503KT12CM</v>
          </cell>
          <cell r="BW3106">
            <v>29</v>
          </cell>
        </row>
        <row r="3107">
          <cell r="L3107" t="str">
            <v>WA2503KT13DN</v>
          </cell>
          <cell r="BW3107">
            <v>67</v>
          </cell>
        </row>
        <row r="3108">
          <cell r="L3108" t="str">
            <v>WA2503KT13DN</v>
          </cell>
          <cell r="BW3108">
            <v>175</v>
          </cell>
        </row>
        <row r="3109">
          <cell r="L3109" t="str">
            <v>WA2503KT14CH</v>
          </cell>
          <cell r="BW3109">
            <v>42</v>
          </cell>
        </row>
        <row r="3110">
          <cell r="L3110" t="str">
            <v>WA2503KT14CH</v>
          </cell>
          <cell r="BW3110">
            <v>84</v>
          </cell>
        </row>
        <row r="3111">
          <cell r="L3111" t="str">
            <v>WA2503KT14CH</v>
          </cell>
          <cell r="BW3111">
            <v>163</v>
          </cell>
        </row>
        <row r="3112">
          <cell r="L3112" t="str">
            <v>WA2503KT14CH</v>
          </cell>
          <cell r="BW3112">
            <v>38</v>
          </cell>
        </row>
        <row r="3113">
          <cell r="L3113" t="str">
            <v>WA2503KT15BK</v>
          </cell>
          <cell r="BW3113">
            <v>53</v>
          </cell>
        </row>
        <row r="3114">
          <cell r="L3114" t="str">
            <v>WA2503KT15BK</v>
          </cell>
          <cell r="BW3114">
            <v>82</v>
          </cell>
        </row>
        <row r="3115">
          <cell r="L3115" t="str">
            <v>WA2503KT15BK</v>
          </cell>
          <cell r="BW3115">
            <v>103</v>
          </cell>
        </row>
        <row r="3116">
          <cell r="L3116" t="str">
            <v>WA2503KT15BK</v>
          </cell>
          <cell r="BW3116">
            <v>44</v>
          </cell>
        </row>
        <row r="3117">
          <cell r="L3117" t="str">
            <v>WA2503KT15GR</v>
          </cell>
          <cell r="BW3117">
            <v>113</v>
          </cell>
        </row>
        <row r="3118">
          <cell r="L3118" t="str">
            <v>WA2503KT15GR</v>
          </cell>
          <cell r="BW3118">
            <v>158</v>
          </cell>
        </row>
        <row r="3119">
          <cell r="L3119" t="str">
            <v>WA2503KT15GR</v>
          </cell>
          <cell r="BW3119">
            <v>199</v>
          </cell>
        </row>
        <row r="3120">
          <cell r="L3120" t="str">
            <v>WA2503KT15GR</v>
          </cell>
          <cell r="BW3120">
            <v>96</v>
          </cell>
        </row>
        <row r="3121">
          <cell r="L3121" t="str">
            <v>WA2503KT61NA</v>
          </cell>
          <cell r="BW3121">
            <v>302</v>
          </cell>
        </row>
        <row r="3122">
          <cell r="L3122" t="str">
            <v>WA2503KT62CM</v>
          </cell>
          <cell r="BW3122">
            <v>234</v>
          </cell>
        </row>
        <row r="3123">
          <cell r="L3123" t="str">
            <v>WA2503KT62GR</v>
          </cell>
          <cell r="BW3123">
            <v>252</v>
          </cell>
        </row>
        <row r="3124">
          <cell r="L3124" t="str">
            <v>WA2503KT63BK</v>
          </cell>
          <cell r="BW3124">
            <v>310</v>
          </cell>
        </row>
        <row r="3125">
          <cell r="L3125" t="str">
            <v>WA2503KT63BK</v>
          </cell>
          <cell r="BW3125">
            <v>285</v>
          </cell>
        </row>
        <row r="3126">
          <cell r="L3126" t="str">
            <v>WA2503KT63BR</v>
          </cell>
          <cell r="BW3126">
            <v>26</v>
          </cell>
        </row>
        <row r="3127">
          <cell r="L3127" t="str">
            <v>WA2503KT63BR</v>
          </cell>
          <cell r="BW3127">
            <v>8</v>
          </cell>
        </row>
        <row r="3128">
          <cell r="L3128" t="str">
            <v>WA2503KT63CM</v>
          </cell>
          <cell r="BW3128">
            <v>84</v>
          </cell>
        </row>
        <row r="3129">
          <cell r="L3129" t="str">
            <v>WA2503KT63CM</v>
          </cell>
          <cell r="BW3129">
            <v>83</v>
          </cell>
        </row>
        <row r="3130">
          <cell r="L3130" t="str">
            <v>WA2503KT64DN</v>
          </cell>
          <cell r="BW3130">
            <v>258</v>
          </cell>
        </row>
        <row r="3131">
          <cell r="L3131" t="str">
            <v>WA2503KT64DN</v>
          </cell>
          <cell r="BW3131">
            <v>278</v>
          </cell>
        </row>
        <row r="3132">
          <cell r="L3132" t="str">
            <v>WA2503KT64LG</v>
          </cell>
          <cell r="BW3132">
            <v>200</v>
          </cell>
        </row>
        <row r="3133">
          <cell r="L3133" t="str">
            <v>WA2503KT64LG</v>
          </cell>
          <cell r="BW3133">
            <v>340</v>
          </cell>
        </row>
        <row r="3134">
          <cell r="L3134" t="str">
            <v>WA2503KT64PI</v>
          </cell>
          <cell r="BW3134">
            <v>85</v>
          </cell>
        </row>
        <row r="3135">
          <cell r="L3135" t="str">
            <v>WA2503KT64PI</v>
          </cell>
          <cell r="BW3135">
            <v>92</v>
          </cell>
        </row>
        <row r="3136">
          <cell r="L3136" t="str">
            <v>WA2503KT65CM</v>
          </cell>
          <cell r="BW3136">
            <v>193</v>
          </cell>
        </row>
        <row r="3137">
          <cell r="L3137" t="str">
            <v>WA2503KT65NA</v>
          </cell>
          <cell r="BW3137">
            <v>209</v>
          </cell>
        </row>
        <row r="3138">
          <cell r="L3138" t="str">
            <v>WA2503KT66GR</v>
          </cell>
          <cell r="BW3138">
            <v>593</v>
          </cell>
        </row>
        <row r="3139">
          <cell r="L3139" t="str">
            <v>WA2503KT66SB</v>
          </cell>
          <cell r="BW3139">
            <v>175</v>
          </cell>
        </row>
        <row r="3140">
          <cell r="L3140" t="str">
            <v>WA2503KT67OT</v>
          </cell>
          <cell r="BW3140">
            <v>212</v>
          </cell>
        </row>
        <row r="3141">
          <cell r="L3141" t="str">
            <v>WA2503KT68CH</v>
          </cell>
          <cell r="BW3141">
            <v>62</v>
          </cell>
        </row>
        <row r="3142">
          <cell r="L3142" t="str">
            <v>WA2503KT68OT</v>
          </cell>
          <cell r="BW3142">
            <v>176</v>
          </cell>
        </row>
        <row r="3143">
          <cell r="L3143" t="str">
            <v>WA2503KT68SB</v>
          </cell>
          <cell r="BW3143">
            <v>88</v>
          </cell>
        </row>
        <row r="3144">
          <cell r="L3144" t="str">
            <v>WA2503LT01BK</v>
          </cell>
          <cell r="BW3144">
            <v>192</v>
          </cell>
        </row>
        <row r="3145">
          <cell r="L3145" t="str">
            <v>WA2503LT01BK</v>
          </cell>
          <cell r="BW3145">
            <v>206</v>
          </cell>
        </row>
        <row r="3146">
          <cell r="L3146" t="str">
            <v>WA2503LT01BK</v>
          </cell>
          <cell r="BW3146">
            <v>308</v>
          </cell>
        </row>
        <row r="3147">
          <cell r="L3147" t="str">
            <v>WA2503LT01BK</v>
          </cell>
          <cell r="BW3147">
            <v>77</v>
          </cell>
        </row>
        <row r="3148">
          <cell r="L3148" t="str">
            <v>WA2503LT01WH</v>
          </cell>
          <cell r="BW3148">
            <v>190</v>
          </cell>
        </row>
        <row r="3149">
          <cell r="L3149" t="str">
            <v>WA2503LT01WH</v>
          </cell>
          <cell r="BW3149">
            <v>178</v>
          </cell>
        </row>
        <row r="3150">
          <cell r="L3150" t="str">
            <v>WA2503LT01WH</v>
          </cell>
          <cell r="BW3150">
            <v>170</v>
          </cell>
        </row>
        <row r="3151">
          <cell r="L3151" t="str">
            <v>WA2503LT01WH</v>
          </cell>
          <cell r="BW3151">
            <v>104</v>
          </cell>
        </row>
        <row r="3152">
          <cell r="L3152" t="str">
            <v>WA2503LT11BK</v>
          </cell>
          <cell r="BW3152">
            <v>41</v>
          </cell>
        </row>
        <row r="3153">
          <cell r="L3153" t="str">
            <v>WA2503LT11BK</v>
          </cell>
          <cell r="BW3153">
            <v>81</v>
          </cell>
        </row>
        <row r="3154">
          <cell r="L3154" t="str">
            <v>WA2503LT11BK</v>
          </cell>
          <cell r="BW3154">
            <v>141</v>
          </cell>
        </row>
        <row r="3155">
          <cell r="L3155" t="str">
            <v>WA2503LT11BK</v>
          </cell>
          <cell r="BW3155">
            <v>42</v>
          </cell>
        </row>
        <row r="3156">
          <cell r="L3156" t="str">
            <v>WA2503LT11WH</v>
          </cell>
          <cell r="BW3156">
            <v>50</v>
          </cell>
        </row>
        <row r="3157">
          <cell r="L3157" t="str">
            <v>WA2503LT11WH</v>
          </cell>
          <cell r="BW3157">
            <v>76</v>
          </cell>
        </row>
        <row r="3158">
          <cell r="L3158" t="str">
            <v>WA2503LT11WH</v>
          </cell>
          <cell r="BW3158">
            <v>90</v>
          </cell>
        </row>
        <row r="3159">
          <cell r="L3159" t="str">
            <v>WA2503LT11WH</v>
          </cell>
          <cell r="BW3159">
            <v>28</v>
          </cell>
        </row>
        <row r="3160">
          <cell r="L3160" t="str">
            <v>WA2503LT12GN</v>
          </cell>
          <cell r="BW3160">
            <v>19</v>
          </cell>
        </row>
        <row r="3161">
          <cell r="L3161" t="str">
            <v>WA2503LT12GN</v>
          </cell>
          <cell r="BW3161">
            <v>37</v>
          </cell>
        </row>
        <row r="3162">
          <cell r="L3162" t="str">
            <v>WA2503LT12GN</v>
          </cell>
          <cell r="BW3162">
            <v>17</v>
          </cell>
        </row>
        <row r="3163">
          <cell r="L3163" t="str">
            <v>WA2503LT12NA</v>
          </cell>
          <cell r="BW3163">
            <v>56</v>
          </cell>
        </row>
        <row r="3164">
          <cell r="L3164" t="str">
            <v>WA2503LT12NA</v>
          </cell>
          <cell r="BW3164">
            <v>52</v>
          </cell>
        </row>
        <row r="3165">
          <cell r="L3165" t="str">
            <v>WA2503LT12NA</v>
          </cell>
          <cell r="BW3165">
            <v>47</v>
          </cell>
        </row>
        <row r="3166">
          <cell r="L3166" t="str">
            <v>WA2503LT13BL</v>
          </cell>
          <cell r="BW3166">
            <v>128</v>
          </cell>
        </row>
        <row r="3167">
          <cell r="L3167" t="str">
            <v>WA2503LT13BL</v>
          </cell>
          <cell r="BW3167">
            <v>199</v>
          </cell>
        </row>
        <row r="3168">
          <cell r="L3168" t="str">
            <v>WA2503LT13BL</v>
          </cell>
          <cell r="BW3168">
            <v>170</v>
          </cell>
        </row>
        <row r="3169">
          <cell r="L3169" t="str">
            <v>WA2503LT13KH</v>
          </cell>
          <cell r="BW3169">
            <v>38</v>
          </cell>
        </row>
        <row r="3170">
          <cell r="L3170" t="str">
            <v>WA2503LT13KH</v>
          </cell>
          <cell r="BW3170">
            <v>89</v>
          </cell>
        </row>
        <row r="3171">
          <cell r="L3171" t="str">
            <v>WA2503LT13KH</v>
          </cell>
          <cell r="BW3171">
            <v>68</v>
          </cell>
        </row>
        <row r="3172">
          <cell r="L3172" t="str">
            <v>WA2503LT14CH</v>
          </cell>
          <cell r="BW3172">
            <v>24</v>
          </cell>
        </row>
        <row r="3173">
          <cell r="L3173" t="str">
            <v>WA2503LT14CH</v>
          </cell>
          <cell r="BW3173">
            <v>41</v>
          </cell>
        </row>
        <row r="3174">
          <cell r="L3174" t="str">
            <v>WA2503LT14CH</v>
          </cell>
          <cell r="BW3174">
            <v>88</v>
          </cell>
        </row>
        <row r="3175">
          <cell r="L3175" t="str">
            <v>WA2503LT14CM</v>
          </cell>
          <cell r="BW3175">
            <v>98</v>
          </cell>
        </row>
        <row r="3176">
          <cell r="L3176" t="str">
            <v>WA2503LT14CM</v>
          </cell>
          <cell r="BW3176">
            <v>115</v>
          </cell>
        </row>
        <row r="3177">
          <cell r="L3177" t="str">
            <v>WA2503LT14CM</v>
          </cell>
          <cell r="BW3177">
            <v>150</v>
          </cell>
        </row>
        <row r="3178">
          <cell r="L3178" t="str">
            <v>WA2503LT15CM</v>
          </cell>
          <cell r="BW3178">
            <v>86</v>
          </cell>
        </row>
        <row r="3179">
          <cell r="L3179" t="str">
            <v>WA2503LT15CM</v>
          </cell>
          <cell r="BW3179">
            <v>176</v>
          </cell>
        </row>
        <row r="3180">
          <cell r="L3180" t="str">
            <v>WA2503LT15CM</v>
          </cell>
          <cell r="BW3180">
            <v>137</v>
          </cell>
        </row>
        <row r="3181">
          <cell r="L3181" t="str">
            <v>WA2503LT61BK</v>
          </cell>
          <cell r="BW3181">
            <v>125</v>
          </cell>
        </row>
        <row r="3182">
          <cell r="L3182" t="str">
            <v>WA2503LT61IV</v>
          </cell>
          <cell r="BW3182">
            <v>51</v>
          </cell>
        </row>
        <row r="3183">
          <cell r="L3183" t="str">
            <v>WA2503LT62CM</v>
          </cell>
          <cell r="BW3183">
            <v>25</v>
          </cell>
        </row>
        <row r="3184">
          <cell r="L3184" t="str">
            <v>WA2503LT62NA</v>
          </cell>
          <cell r="BW3184">
            <v>22</v>
          </cell>
        </row>
        <row r="3185">
          <cell r="L3185" t="str">
            <v>WA2503LT63BE</v>
          </cell>
          <cell r="BW3185">
            <v>202</v>
          </cell>
        </row>
        <row r="3186">
          <cell r="L3186" t="str">
            <v>WA2503LT63NA</v>
          </cell>
          <cell r="BW3186">
            <v>110</v>
          </cell>
        </row>
        <row r="3187">
          <cell r="L3187" t="str">
            <v>WA2503LT81BK</v>
          </cell>
          <cell r="BW3187">
            <v>27</v>
          </cell>
        </row>
        <row r="3188">
          <cell r="L3188" t="str">
            <v>WA2503LT81BK</v>
          </cell>
          <cell r="BW3188">
            <v>41</v>
          </cell>
        </row>
        <row r="3189">
          <cell r="L3189" t="str">
            <v>WA2503LT81BK</v>
          </cell>
          <cell r="BW3189">
            <v>70</v>
          </cell>
        </row>
        <row r="3190">
          <cell r="L3190" t="str">
            <v>WA2503LT81WH</v>
          </cell>
          <cell r="BW3190">
            <v>41</v>
          </cell>
        </row>
        <row r="3191">
          <cell r="L3191" t="str">
            <v>WA2503LT81WH</v>
          </cell>
          <cell r="BW3191">
            <v>57</v>
          </cell>
        </row>
        <row r="3192">
          <cell r="L3192" t="str">
            <v>WA2503LT81WH</v>
          </cell>
          <cell r="BW3192">
            <v>144</v>
          </cell>
        </row>
        <row r="3193">
          <cell r="L3193" t="str">
            <v>WA2503LT82BL</v>
          </cell>
          <cell r="BW3193">
            <v>33</v>
          </cell>
        </row>
        <row r="3194">
          <cell r="L3194" t="str">
            <v>WA2503LT82BL</v>
          </cell>
          <cell r="BW3194">
            <v>31</v>
          </cell>
        </row>
        <row r="3195">
          <cell r="L3195" t="str">
            <v>WA2503LT82BL</v>
          </cell>
          <cell r="BW3195">
            <v>102</v>
          </cell>
        </row>
        <row r="3196">
          <cell r="L3196" t="str">
            <v>WA2503LT82CM</v>
          </cell>
          <cell r="BW3196">
            <v>41</v>
          </cell>
        </row>
        <row r="3197">
          <cell r="L3197" t="str">
            <v>WA2503LT82CM</v>
          </cell>
          <cell r="BW3197">
            <v>55</v>
          </cell>
        </row>
        <row r="3198">
          <cell r="L3198" t="str">
            <v>WA2503LT82CM</v>
          </cell>
          <cell r="BW3198">
            <v>129</v>
          </cell>
        </row>
        <row r="3199">
          <cell r="L3199" t="str">
            <v>WA2503LT83GR</v>
          </cell>
          <cell r="BW3199">
            <v>24</v>
          </cell>
        </row>
        <row r="3200">
          <cell r="L3200" t="str">
            <v>WA2503LT83GR</v>
          </cell>
          <cell r="BW3200">
            <v>21</v>
          </cell>
        </row>
        <row r="3201">
          <cell r="L3201" t="str">
            <v>WA2503LT83GR</v>
          </cell>
          <cell r="BW3201">
            <v>51</v>
          </cell>
        </row>
        <row r="3202">
          <cell r="L3202" t="str">
            <v>WA2503LT83NA</v>
          </cell>
          <cell r="BW3202">
            <v>31</v>
          </cell>
        </row>
        <row r="3203">
          <cell r="L3203" t="str">
            <v>WA2503LT83NA</v>
          </cell>
          <cell r="BW3203">
            <v>27</v>
          </cell>
        </row>
        <row r="3204">
          <cell r="L3204" t="str">
            <v>WA2503LT83NA</v>
          </cell>
          <cell r="BW3204">
            <v>76</v>
          </cell>
        </row>
        <row r="3205">
          <cell r="L3205" t="str">
            <v>WA2503MU01PI</v>
          </cell>
          <cell r="BW3205">
            <v>2744</v>
          </cell>
        </row>
        <row r="3206">
          <cell r="L3206" t="str">
            <v>WA2503MU01SB</v>
          </cell>
          <cell r="BW3206">
            <v>3286</v>
          </cell>
        </row>
        <row r="3207">
          <cell r="L3207" t="str">
            <v>WA2503MU02IV</v>
          </cell>
          <cell r="BW3207">
            <v>643</v>
          </cell>
        </row>
        <row r="3208">
          <cell r="L3208" t="str">
            <v>WA2503MU02PI</v>
          </cell>
          <cell r="BW3208">
            <v>541</v>
          </cell>
        </row>
        <row r="3209">
          <cell r="L3209" t="str">
            <v>WA2503MU03BL</v>
          </cell>
          <cell r="BW3209">
            <v>291</v>
          </cell>
        </row>
        <row r="3210">
          <cell r="L3210" t="str">
            <v>WA2503MU03BR</v>
          </cell>
          <cell r="BW3210">
            <v>259</v>
          </cell>
        </row>
        <row r="3211">
          <cell r="L3211" t="str">
            <v>WA2503MU04BK</v>
          </cell>
          <cell r="BW3211">
            <v>376</v>
          </cell>
        </row>
        <row r="3212">
          <cell r="L3212" t="str">
            <v>WA2503MU04CM</v>
          </cell>
          <cell r="BW3212">
            <v>430</v>
          </cell>
        </row>
        <row r="3213">
          <cell r="L3213" t="str">
            <v>WA2503MU05BL</v>
          </cell>
          <cell r="BW3213">
            <v>369</v>
          </cell>
        </row>
        <row r="3214">
          <cell r="L3214" t="str">
            <v>WA2503MU05RD</v>
          </cell>
          <cell r="BW3214">
            <v>314</v>
          </cell>
        </row>
        <row r="3215">
          <cell r="L3215" t="str">
            <v>WA2503MU06LV</v>
          </cell>
          <cell r="BW3215">
            <v>206</v>
          </cell>
        </row>
        <row r="3216">
          <cell r="L3216" t="str">
            <v>WA2503MU06NA</v>
          </cell>
          <cell r="BW3216">
            <v>75</v>
          </cell>
        </row>
        <row r="3217">
          <cell r="L3217" t="str">
            <v>WA2503MU07BK</v>
          </cell>
          <cell r="BW3217">
            <v>1247</v>
          </cell>
        </row>
        <row r="3218">
          <cell r="L3218" t="str">
            <v>WA2503MU07YE</v>
          </cell>
          <cell r="BW3218">
            <v>1224</v>
          </cell>
        </row>
        <row r="3219">
          <cell r="L3219" t="str">
            <v>WA2503PT01BK</v>
          </cell>
          <cell r="BW3219">
            <v>784</v>
          </cell>
        </row>
        <row r="3220">
          <cell r="L3220" t="str">
            <v>WA2503PT01BK</v>
          </cell>
          <cell r="BW3220">
            <v>1138</v>
          </cell>
        </row>
        <row r="3221">
          <cell r="L3221" t="str">
            <v>WA2503PT01BK</v>
          </cell>
          <cell r="BW3221">
            <v>1614</v>
          </cell>
        </row>
        <row r="3222">
          <cell r="L3222" t="str">
            <v>WA2503PT01BK</v>
          </cell>
          <cell r="BW3222">
            <v>357</v>
          </cell>
        </row>
        <row r="3223">
          <cell r="L3223" t="str">
            <v>WA2503PT01BK</v>
          </cell>
          <cell r="BW3223">
            <v>235</v>
          </cell>
        </row>
        <row r="3224">
          <cell r="L3224" t="str">
            <v>WA2503PT01BK</v>
          </cell>
          <cell r="BW3224">
            <v>234</v>
          </cell>
        </row>
        <row r="3225">
          <cell r="L3225" t="str">
            <v>WA2503PT01GR</v>
          </cell>
          <cell r="BW3225">
            <v>719</v>
          </cell>
        </row>
        <row r="3226">
          <cell r="L3226" t="str">
            <v>WA2503PT01GR</v>
          </cell>
          <cell r="BW3226">
            <v>953</v>
          </cell>
        </row>
        <row r="3227">
          <cell r="L3227" t="str">
            <v>WA2503PT01GR</v>
          </cell>
          <cell r="BW3227">
            <v>1207</v>
          </cell>
        </row>
        <row r="3228">
          <cell r="L3228" t="str">
            <v>WA2503PT01GR</v>
          </cell>
          <cell r="BW3228">
            <v>353</v>
          </cell>
        </row>
        <row r="3229">
          <cell r="L3229" t="str">
            <v>WA2503PT01GR</v>
          </cell>
          <cell r="BW3229">
            <v>106</v>
          </cell>
        </row>
        <row r="3230">
          <cell r="L3230" t="str">
            <v>WA2503PT01GR</v>
          </cell>
          <cell r="BW3230">
            <v>247</v>
          </cell>
        </row>
        <row r="3231">
          <cell r="L3231" t="str">
            <v>WA2503PT01LG</v>
          </cell>
          <cell r="BW3231">
            <v>327</v>
          </cell>
        </row>
        <row r="3232">
          <cell r="L3232" t="str">
            <v>WA2503PT01LG</v>
          </cell>
          <cell r="BW3232">
            <v>510</v>
          </cell>
        </row>
        <row r="3233">
          <cell r="L3233" t="str">
            <v>WA2503PT01LG</v>
          </cell>
          <cell r="BW3233">
            <v>708</v>
          </cell>
        </row>
        <row r="3234">
          <cell r="L3234" t="str">
            <v>WA2503PT01LG</v>
          </cell>
          <cell r="BW3234">
            <v>153</v>
          </cell>
        </row>
        <row r="3235">
          <cell r="L3235" t="str">
            <v>WA2503PT01LG</v>
          </cell>
          <cell r="BW3235">
            <v>105</v>
          </cell>
        </row>
        <row r="3236">
          <cell r="L3236" t="str">
            <v>WA2503PT01LG</v>
          </cell>
          <cell r="BW3236">
            <v>164</v>
          </cell>
        </row>
        <row r="3237">
          <cell r="L3237" t="str">
            <v>WA2503PT01LK</v>
          </cell>
          <cell r="BW3237">
            <v>128</v>
          </cell>
        </row>
        <row r="3238">
          <cell r="L3238" t="str">
            <v>WA2503PT01LK</v>
          </cell>
          <cell r="BW3238">
            <v>203</v>
          </cell>
        </row>
        <row r="3239">
          <cell r="L3239" t="str">
            <v>WA2503PT01LK</v>
          </cell>
          <cell r="BW3239">
            <v>243</v>
          </cell>
        </row>
        <row r="3240">
          <cell r="L3240" t="str">
            <v>WA2503PT01LK</v>
          </cell>
          <cell r="BW3240">
            <v>80</v>
          </cell>
        </row>
        <row r="3241">
          <cell r="L3241" t="str">
            <v>WA2503PT02BK</v>
          </cell>
          <cell r="BW3241">
            <v>113</v>
          </cell>
        </row>
        <row r="3242">
          <cell r="L3242" t="str">
            <v>WA2503PT02BK</v>
          </cell>
          <cell r="BW3242">
            <v>104</v>
          </cell>
        </row>
        <row r="3243">
          <cell r="L3243" t="str">
            <v>WA2503PT02BK</v>
          </cell>
          <cell r="BW3243">
            <v>134</v>
          </cell>
        </row>
        <row r="3244">
          <cell r="L3244" t="str">
            <v>WA2503PT02BK</v>
          </cell>
          <cell r="BW3244">
            <v>78</v>
          </cell>
        </row>
        <row r="3245">
          <cell r="L3245" t="str">
            <v>WA2503PT02BK</v>
          </cell>
          <cell r="BW3245">
            <v>26</v>
          </cell>
        </row>
        <row r="3246">
          <cell r="L3246" t="str">
            <v>WA2503PT02GR</v>
          </cell>
          <cell r="BW3246">
            <v>93</v>
          </cell>
        </row>
        <row r="3247">
          <cell r="L3247" t="str">
            <v>WA2503PT02GR</v>
          </cell>
          <cell r="BW3247">
            <v>81</v>
          </cell>
        </row>
        <row r="3248">
          <cell r="L3248" t="str">
            <v>WA2503PT02GR</v>
          </cell>
          <cell r="BW3248">
            <v>115</v>
          </cell>
        </row>
        <row r="3249">
          <cell r="L3249" t="str">
            <v>WA2503PT02GR</v>
          </cell>
          <cell r="BW3249">
            <v>46</v>
          </cell>
        </row>
        <row r="3250">
          <cell r="L3250" t="str">
            <v>WA2503PT02GR</v>
          </cell>
          <cell r="BW3250">
            <v>57</v>
          </cell>
        </row>
        <row r="3251">
          <cell r="L3251" t="str">
            <v>WA2503PT03BK</v>
          </cell>
          <cell r="BW3251">
            <v>229</v>
          </cell>
        </row>
        <row r="3252">
          <cell r="L3252" t="str">
            <v>WA2503PT03BK</v>
          </cell>
          <cell r="BW3252">
            <v>365</v>
          </cell>
        </row>
        <row r="3253">
          <cell r="L3253" t="str">
            <v>WA2503PT03BK</v>
          </cell>
          <cell r="BW3253">
            <v>526</v>
          </cell>
        </row>
        <row r="3254">
          <cell r="L3254" t="str">
            <v>WA2503PT03BK</v>
          </cell>
          <cell r="BW3254">
            <v>91</v>
          </cell>
        </row>
        <row r="3255">
          <cell r="L3255" t="str">
            <v>WA2503PT03BK</v>
          </cell>
          <cell r="BW3255">
            <v>93</v>
          </cell>
        </row>
        <row r="3256">
          <cell r="L3256" t="str">
            <v>WA2503PT03GR</v>
          </cell>
          <cell r="BW3256">
            <v>219</v>
          </cell>
        </row>
        <row r="3257">
          <cell r="L3257" t="str">
            <v>WA2503PT03GR</v>
          </cell>
          <cell r="BW3257">
            <v>302</v>
          </cell>
        </row>
        <row r="3258">
          <cell r="L3258" t="str">
            <v>WA2503PT03GR</v>
          </cell>
          <cell r="BW3258">
            <v>398</v>
          </cell>
        </row>
        <row r="3259">
          <cell r="L3259" t="str">
            <v>WA2503PT03GR</v>
          </cell>
          <cell r="BW3259">
            <v>115</v>
          </cell>
        </row>
        <row r="3260">
          <cell r="L3260" t="str">
            <v>WA2503PT03GR</v>
          </cell>
          <cell r="BW3260">
            <v>77</v>
          </cell>
        </row>
        <row r="3261">
          <cell r="L3261" t="str">
            <v>WA2503PT03LG</v>
          </cell>
          <cell r="BW3261">
            <v>191</v>
          </cell>
        </row>
        <row r="3262">
          <cell r="L3262" t="str">
            <v>WA2503PT03LG</v>
          </cell>
          <cell r="BW3262">
            <v>252</v>
          </cell>
        </row>
        <row r="3263">
          <cell r="L3263" t="str">
            <v>WA2503PT03LG</v>
          </cell>
          <cell r="BW3263">
            <v>347</v>
          </cell>
        </row>
        <row r="3264">
          <cell r="L3264" t="str">
            <v>WA2503PT03LG</v>
          </cell>
          <cell r="BW3264">
            <v>87</v>
          </cell>
        </row>
        <row r="3265">
          <cell r="L3265" t="str">
            <v>WA2503PT03LG</v>
          </cell>
          <cell r="BW3265">
            <v>77</v>
          </cell>
        </row>
        <row r="3266">
          <cell r="L3266" t="str">
            <v>WA2503PT04BK</v>
          </cell>
          <cell r="BW3266">
            <v>86</v>
          </cell>
        </row>
        <row r="3267">
          <cell r="L3267" t="str">
            <v>WA2503PT04BK</v>
          </cell>
          <cell r="BW3267">
            <v>130</v>
          </cell>
        </row>
        <row r="3268">
          <cell r="L3268" t="str">
            <v>WA2503PT04BK</v>
          </cell>
          <cell r="BW3268">
            <v>160</v>
          </cell>
        </row>
        <row r="3269">
          <cell r="L3269" t="str">
            <v>WA2503PT04BK</v>
          </cell>
          <cell r="BW3269">
            <v>56</v>
          </cell>
        </row>
        <row r="3270">
          <cell r="L3270" t="str">
            <v>WA2503PT04GR</v>
          </cell>
          <cell r="BW3270">
            <v>103</v>
          </cell>
        </row>
        <row r="3271">
          <cell r="L3271" t="str">
            <v>WA2503PT04GR</v>
          </cell>
          <cell r="BW3271">
            <v>171</v>
          </cell>
        </row>
        <row r="3272">
          <cell r="L3272" t="str">
            <v>WA2503PT04GR</v>
          </cell>
          <cell r="BW3272">
            <v>167</v>
          </cell>
        </row>
        <row r="3273">
          <cell r="L3273" t="str">
            <v>WA2503PT04GR</v>
          </cell>
          <cell r="BW3273">
            <v>79</v>
          </cell>
        </row>
        <row r="3274">
          <cell r="L3274" t="str">
            <v>WA2503PT05BL</v>
          </cell>
          <cell r="BW3274">
            <v>65</v>
          </cell>
        </row>
        <row r="3275">
          <cell r="L3275" t="str">
            <v>WA2503PT05BL</v>
          </cell>
          <cell r="BW3275">
            <v>129</v>
          </cell>
        </row>
        <row r="3276">
          <cell r="L3276" t="str">
            <v>WA2503PT05BL</v>
          </cell>
          <cell r="BW3276">
            <v>91</v>
          </cell>
        </row>
        <row r="3277">
          <cell r="L3277" t="str">
            <v>WA2503PT05BL</v>
          </cell>
          <cell r="BW3277">
            <v>32</v>
          </cell>
        </row>
        <row r="3278">
          <cell r="L3278" t="str">
            <v>WA2503PT05CH</v>
          </cell>
          <cell r="BW3278">
            <v>255</v>
          </cell>
        </row>
        <row r="3279">
          <cell r="L3279" t="str">
            <v>WA2503PT05CH</v>
          </cell>
          <cell r="BW3279">
            <v>442</v>
          </cell>
        </row>
        <row r="3280">
          <cell r="L3280" t="str">
            <v>WA2503PT05CH</v>
          </cell>
          <cell r="BW3280">
            <v>497</v>
          </cell>
        </row>
        <row r="3281">
          <cell r="L3281" t="str">
            <v>WA2503PT05CH</v>
          </cell>
          <cell r="BW3281">
            <v>141</v>
          </cell>
        </row>
        <row r="3282">
          <cell r="L3282" t="str">
            <v>WA2503PT05PI</v>
          </cell>
          <cell r="BW3282">
            <v>71</v>
          </cell>
        </row>
        <row r="3283">
          <cell r="L3283" t="str">
            <v>WA2503PT05PI</v>
          </cell>
          <cell r="BW3283">
            <v>142</v>
          </cell>
        </row>
        <row r="3284">
          <cell r="L3284" t="str">
            <v>WA2503PT05PI</v>
          </cell>
          <cell r="BW3284">
            <v>87</v>
          </cell>
        </row>
        <row r="3285">
          <cell r="L3285" t="str">
            <v>WA2503PT05PI</v>
          </cell>
          <cell r="BW3285">
            <v>29</v>
          </cell>
        </row>
        <row r="3286">
          <cell r="L3286" t="str">
            <v>WA2503PT06BL</v>
          </cell>
          <cell r="BW3286">
            <v>89</v>
          </cell>
        </row>
        <row r="3287">
          <cell r="L3287" t="str">
            <v>WA2503PT06BL</v>
          </cell>
          <cell r="BW3287">
            <v>178</v>
          </cell>
        </row>
        <row r="3288">
          <cell r="L3288" t="str">
            <v>WA2503PT06BL</v>
          </cell>
          <cell r="BW3288">
            <v>139</v>
          </cell>
        </row>
        <row r="3289">
          <cell r="L3289" t="str">
            <v>WA2503PT06BL</v>
          </cell>
          <cell r="BW3289">
            <v>47</v>
          </cell>
        </row>
        <row r="3290">
          <cell r="L3290" t="str">
            <v>WA2503PT06KH</v>
          </cell>
          <cell r="BW3290">
            <v>90</v>
          </cell>
        </row>
        <row r="3291">
          <cell r="L3291" t="str">
            <v>WA2503PT06KH</v>
          </cell>
          <cell r="BW3291">
            <v>183</v>
          </cell>
        </row>
        <row r="3292">
          <cell r="L3292" t="str">
            <v>WA2503PT06KH</v>
          </cell>
          <cell r="BW3292">
            <v>142</v>
          </cell>
        </row>
        <row r="3293">
          <cell r="L3293" t="str">
            <v>WA2503PT06KH</v>
          </cell>
          <cell r="BW3293">
            <v>51</v>
          </cell>
        </row>
        <row r="3294">
          <cell r="L3294" t="str">
            <v>WA2503PT07BK</v>
          </cell>
          <cell r="BW3294">
            <v>77</v>
          </cell>
        </row>
        <row r="3295">
          <cell r="L3295" t="str">
            <v>WA2503PT07BK</v>
          </cell>
          <cell r="BW3295">
            <v>63</v>
          </cell>
        </row>
        <row r="3296">
          <cell r="L3296" t="str">
            <v>WA2503PT07BK</v>
          </cell>
          <cell r="BW3296">
            <v>103</v>
          </cell>
        </row>
        <row r="3297">
          <cell r="L3297" t="str">
            <v>WA2503PT07BK</v>
          </cell>
          <cell r="BW3297">
            <v>22</v>
          </cell>
        </row>
        <row r="3298">
          <cell r="L3298" t="str">
            <v>WA2503PT07GR</v>
          </cell>
          <cell r="BW3298">
            <v>109</v>
          </cell>
        </row>
        <row r="3299">
          <cell r="L3299" t="str">
            <v>WA2503PT07GR</v>
          </cell>
          <cell r="BW3299">
            <v>69</v>
          </cell>
        </row>
        <row r="3300">
          <cell r="L3300" t="str">
            <v>WA2503PT07GR</v>
          </cell>
          <cell r="BW3300">
            <v>85</v>
          </cell>
        </row>
        <row r="3301">
          <cell r="L3301" t="str">
            <v>WA2503PT07GR</v>
          </cell>
          <cell r="BW3301">
            <v>39</v>
          </cell>
        </row>
        <row r="3302">
          <cell r="L3302" t="str">
            <v>WA2503PT08BK</v>
          </cell>
          <cell r="BW3302">
            <v>5</v>
          </cell>
        </row>
        <row r="3303">
          <cell r="L3303" t="str">
            <v>WA2503PT08BK</v>
          </cell>
          <cell r="BW3303">
            <v>10</v>
          </cell>
        </row>
        <row r="3304">
          <cell r="L3304" t="str">
            <v>WA2503PT08BK</v>
          </cell>
          <cell r="BW3304">
            <v>11</v>
          </cell>
        </row>
        <row r="3305">
          <cell r="L3305" t="str">
            <v>WA2503PT08BK</v>
          </cell>
          <cell r="BW3305">
            <v>4</v>
          </cell>
        </row>
        <row r="3306">
          <cell r="L3306" t="str">
            <v>WA2503PT08IN</v>
          </cell>
          <cell r="BW3306">
            <v>51</v>
          </cell>
        </row>
        <row r="3307">
          <cell r="L3307" t="str">
            <v>WA2503PT08IN</v>
          </cell>
          <cell r="BW3307">
            <v>127</v>
          </cell>
        </row>
        <row r="3308">
          <cell r="L3308" t="str">
            <v>WA2503PT08IN</v>
          </cell>
          <cell r="BW3308">
            <v>81</v>
          </cell>
        </row>
        <row r="3309">
          <cell r="L3309" t="str">
            <v>WA2503PT08IN</v>
          </cell>
          <cell r="BW3309">
            <v>33</v>
          </cell>
        </row>
        <row r="3310">
          <cell r="L3310" t="str">
            <v>WA2503PT11BK</v>
          </cell>
          <cell r="BW3310">
            <v>130</v>
          </cell>
        </row>
        <row r="3311">
          <cell r="L3311" t="str">
            <v>WA2503PT11BK</v>
          </cell>
          <cell r="BW3311">
            <v>165</v>
          </cell>
        </row>
        <row r="3312">
          <cell r="L3312" t="str">
            <v>WA2503PT11BK</v>
          </cell>
          <cell r="BW3312">
            <v>113</v>
          </cell>
        </row>
        <row r="3313">
          <cell r="L3313" t="str">
            <v>WA2503PT11GR</v>
          </cell>
          <cell r="BW3313">
            <v>147</v>
          </cell>
        </row>
        <row r="3314">
          <cell r="L3314" t="str">
            <v>WA2503PT11GR</v>
          </cell>
          <cell r="BW3314">
            <v>185</v>
          </cell>
        </row>
        <row r="3315">
          <cell r="L3315" t="str">
            <v>WA2503PT11GR</v>
          </cell>
          <cell r="BW3315">
            <v>114</v>
          </cell>
        </row>
        <row r="3316">
          <cell r="L3316" t="str">
            <v>WA2503PT12BR</v>
          </cell>
          <cell r="BW3316">
            <v>154</v>
          </cell>
        </row>
        <row r="3317">
          <cell r="L3317" t="str">
            <v>WA2503PT12BR</v>
          </cell>
          <cell r="BW3317">
            <v>185</v>
          </cell>
        </row>
        <row r="3318">
          <cell r="L3318" t="str">
            <v>WA2503PT12BR</v>
          </cell>
          <cell r="BW3318">
            <v>111</v>
          </cell>
        </row>
        <row r="3319">
          <cell r="L3319" t="str">
            <v>WA2503PT12CH</v>
          </cell>
          <cell r="BW3319">
            <v>143</v>
          </cell>
        </row>
        <row r="3320">
          <cell r="L3320" t="str">
            <v>WA2503PT12CH</v>
          </cell>
          <cell r="BW3320">
            <v>177</v>
          </cell>
        </row>
        <row r="3321">
          <cell r="L3321" t="str">
            <v>WA2503PT12CH</v>
          </cell>
          <cell r="BW3321">
            <v>105</v>
          </cell>
        </row>
        <row r="3322">
          <cell r="L3322" t="str">
            <v>WA2503PT13BK</v>
          </cell>
          <cell r="BW3322">
            <v>186</v>
          </cell>
        </row>
        <row r="3323">
          <cell r="L3323" t="str">
            <v>WA2503PT13BK</v>
          </cell>
          <cell r="BW3323">
            <v>280</v>
          </cell>
        </row>
        <row r="3324">
          <cell r="L3324" t="str">
            <v>WA2503PT13BK</v>
          </cell>
          <cell r="BW3324">
            <v>168</v>
          </cell>
        </row>
        <row r="3325">
          <cell r="L3325" t="str">
            <v>WA2503PT13KH</v>
          </cell>
          <cell r="BW3325">
            <v>132</v>
          </cell>
        </row>
        <row r="3326">
          <cell r="L3326" t="str">
            <v>WA2503PT13KH</v>
          </cell>
          <cell r="BW3326">
            <v>201</v>
          </cell>
        </row>
        <row r="3327">
          <cell r="L3327" t="str">
            <v>WA2503PT13KH</v>
          </cell>
          <cell r="BW3327">
            <v>106</v>
          </cell>
        </row>
        <row r="3328">
          <cell r="L3328" t="str">
            <v>WA2503PT31BK</v>
          </cell>
          <cell r="BW3328">
            <v>99</v>
          </cell>
        </row>
        <row r="3329">
          <cell r="L3329" t="str">
            <v>WA2503PT31BK</v>
          </cell>
          <cell r="BW3329">
            <v>244</v>
          </cell>
        </row>
        <row r="3330">
          <cell r="L3330" t="str">
            <v>WA2503PT31BK</v>
          </cell>
          <cell r="BW3330">
            <v>194</v>
          </cell>
        </row>
        <row r="3331">
          <cell r="L3331" t="str">
            <v>WA2503PT31BK</v>
          </cell>
          <cell r="BW3331">
            <v>48</v>
          </cell>
        </row>
        <row r="3332">
          <cell r="L3332" t="str">
            <v>WA2503PT31BL</v>
          </cell>
          <cell r="BW3332">
            <v>109</v>
          </cell>
        </row>
        <row r="3333">
          <cell r="L3333" t="str">
            <v>WA2503PT31BL</v>
          </cell>
          <cell r="BW3333">
            <v>181</v>
          </cell>
        </row>
        <row r="3334">
          <cell r="L3334" t="str">
            <v>WA2503PT31BL</v>
          </cell>
          <cell r="BW3334">
            <v>143</v>
          </cell>
        </row>
        <row r="3335">
          <cell r="L3335" t="str">
            <v>WA2503PT31BL</v>
          </cell>
          <cell r="BW3335">
            <v>38</v>
          </cell>
        </row>
        <row r="3336">
          <cell r="L3336" t="str">
            <v>WA2503PT31EC</v>
          </cell>
          <cell r="BW3336">
            <v>119</v>
          </cell>
        </row>
        <row r="3337">
          <cell r="L3337" t="str">
            <v>WA2503PT31EC</v>
          </cell>
          <cell r="BW3337">
            <v>150</v>
          </cell>
        </row>
        <row r="3338">
          <cell r="L3338" t="str">
            <v>WA2503PT31EC</v>
          </cell>
          <cell r="BW3338">
            <v>118</v>
          </cell>
        </row>
        <row r="3339">
          <cell r="L3339" t="str">
            <v>WA2503PT31EC</v>
          </cell>
          <cell r="BW3339">
            <v>40</v>
          </cell>
        </row>
        <row r="3340">
          <cell r="L3340" t="str">
            <v>WA2503PT31IN</v>
          </cell>
          <cell r="BW3340">
            <v>103</v>
          </cell>
        </row>
        <row r="3341">
          <cell r="L3341" t="str">
            <v>WA2503PT31IN</v>
          </cell>
          <cell r="BW3341">
            <v>142</v>
          </cell>
        </row>
        <row r="3342">
          <cell r="L3342" t="str">
            <v>WA2503PT31IN</v>
          </cell>
          <cell r="BW3342">
            <v>114</v>
          </cell>
        </row>
        <row r="3343">
          <cell r="L3343" t="str">
            <v>WA2503PT31IN</v>
          </cell>
          <cell r="BW3343">
            <v>40</v>
          </cell>
        </row>
        <row r="3344">
          <cell r="L3344" t="str">
            <v>WA2503PT32BE</v>
          </cell>
          <cell r="BW3344">
            <v>98</v>
          </cell>
        </row>
        <row r="3345">
          <cell r="L3345" t="str">
            <v>WA2503PT32BE</v>
          </cell>
          <cell r="BW3345">
            <v>84</v>
          </cell>
        </row>
        <row r="3346">
          <cell r="L3346" t="str">
            <v>WA2503PT32BE</v>
          </cell>
          <cell r="BW3346">
            <v>44</v>
          </cell>
        </row>
        <row r="3347">
          <cell r="L3347" t="str">
            <v>WA2503PT32BK</v>
          </cell>
          <cell r="BW3347">
            <v>136</v>
          </cell>
        </row>
        <row r="3348">
          <cell r="L3348" t="str">
            <v>WA2503PT32BK</v>
          </cell>
          <cell r="BW3348">
            <v>147</v>
          </cell>
        </row>
        <row r="3349">
          <cell r="L3349" t="str">
            <v>WA2503PT32BK</v>
          </cell>
          <cell r="BW3349">
            <v>91</v>
          </cell>
        </row>
        <row r="3350">
          <cell r="L3350" t="str">
            <v>WA2503PT32BL</v>
          </cell>
          <cell r="BW3350">
            <v>158</v>
          </cell>
        </row>
        <row r="3351">
          <cell r="L3351" t="str">
            <v>WA2503PT32BL</v>
          </cell>
          <cell r="BW3351">
            <v>198</v>
          </cell>
        </row>
        <row r="3352">
          <cell r="L3352" t="str">
            <v>WA2503PT32BL</v>
          </cell>
          <cell r="BW3352">
            <v>154</v>
          </cell>
        </row>
        <row r="3353">
          <cell r="L3353" t="str">
            <v>WA2503PT33BK</v>
          </cell>
          <cell r="BW3353">
            <v>70</v>
          </cell>
        </row>
        <row r="3354">
          <cell r="L3354" t="str">
            <v>WA2503PT33BK</v>
          </cell>
          <cell r="BW3354">
            <v>145</v>
          </cell>
        </row>
        <row r="3355">
          <cell r="L3355" t="str">
            <v>WA2503PT33BK</v>
          </cell>
          <cell r="BW3355">
            <v>75</v>
          </cell>
        </row>
        <row r="3356">
          <cell r="L3356" t="str">
            <v>WA2503PT33BK</v>
          </cell>
          <cell r="BW3356">
            <v>38</v>
          </cell>
        </row>
        <row r="3357">
          <cell r="L3357" t="str">
            <v>WA2503PT33IN</v>
          </cell>
          <cell r="BW3357">
            <v>78</v>
          </cell>
        </row>
        <row r="3358">
          <cell r="L3358" t="str">
            <v>WA2503PT33IN</v>
          </cell>
          <cell r="BW3358">
            <v>164</v>
          </cell>
        </row>
        <row r="3359">
          <cell r="L3359" t="str">
            <v>WA2503PT33IN</v>
          </cell>
          <cell r="BW3359">
            <v>83</v>
          </cell>
        </row>
        <row r="3360">
          <cell r="L3360" t="str">
            <v>WA2503PT33IN</v>
          </cell>
          <cell r="BW3360">
            <v>36</v>
          </cell>
        </row>
        <row r="3361">
          <cell r="L3361" t="str">
            <v>WA2503PT34IN</v>
          </cell>
          <cell r="BW3361">
            <v>100</v>
          </cell>
        </row>
        <row r="3362">
          <cell r="L3362" t="str">
            <v>WA2503PT34IN</v>
          </cell>
          <cell r="BW3362">
            <v>142</v>
          </cell>
        </row>
        <row r="3363">
          <cell r="L3363" t="str">
            <v>WA2503PT34IN</v>
          </cell>
          <cell r="BW3363">
            <v>100</v>
          </cell>
        </row>
        <row r="3364">
          <cell r="L3364" t="str">
            <v>WA2503PT34IN</v>
          </cell>
          <cell r="BW3364">
            <v>33</v>
          </cell>
        </row>
        <row r="3365">
          <cell r="L3365" t="str">
            <v>WA2503PT34KH</v>
          </cell>
          <cell r="BW3365">
            <v>87</v>
          </cell>
        </row>
        <row r="3366">
          <cell r="L3366" t="str">
            <v>WA2503PT34KH</v>
          </cell>
          <cell r="BW3366">
            <v>129</v>
          </cell>
        </row>
        <row r="3367">
          <cell r="L3367" t="str">
            <v>WA2503PT34KH</v>
          </cell>
          <cell r="BW3367">
            <v>79</v>
          </cell>
        </row>
        <row r="3368">
          <cell r="L3368" t="str">
            <v>WA2503PT34KH</v>
          </cell>
          <cell r="BW3368">
            <v>22</v>
          </cell>
        </row>
        <row r="3369">
          <cell r="L3369" t="str">
            <v>WA2503PT35BL</v>
          </cell>
          <cell r="BW3369">
            <v>89</v>
          </cell>
        </row>
        <row r="3370">
          <cell r="L3370" t="str">
            <v>WA2503PT35BL</v>
          </cell>
          <cell r="BW3370">
            <v>116</v>
          </cell>
        </row>
        <row r="3371">
          <cell r="L3371" t="str">
            <v>WA2503PT35BL</v>
          </cell>
          <cell r="BW3371">
            <v>61</v>
          </cell>
        </row>
        <row r="3372">
          <cell r="L3372" t="str">
            <v>WA2503PT35GN</v>
          </cell>
          <cell r="BW3372">
            <v>112</v>
          </cell>
        </row>
        <row r="3373">
          <cell r="L3373" t="str">
            <v>WA2503PT35GN</v>
          </cell>
          <cell r="BW3373">
            <v>128</v>
          </cell>
        </row>
        <row r="3374">
          <cell r="L3374" t="str">
            <v>WA2503PT35GN</v>
          </cell>
          <cell r="BW3374">
            <v>96</v>
          </cell>
        </row>
        <row r="3375">
          <cell r="L3375" t="str">
            <v>WA2503PT36BK</v>
          </cell>
          <cell r="BW3375">
            <v>25</v>
          </cell>
        </row>
        <row r="3376">
          <cell r="L3376" t="str">
            <v>WA2503PT36BK</v>
          </cell>
          <cell r="BW3376">
            <v>50</v>
          </cell>
        </row>
        <row r="3377">
          <cell r="L3377" t="str">
            <v>WA2503PT36BK</v>
          </cell>
          <cell r="BW3377">
            <v>28</v>
          </cell>
        </row>
        <row r="3378">
          <cell r="L3378" t="str">
            <v>WA2503PT36BR</v>
          </cell>
          <cell r="BW3378">
            <v>73</v>
          </cell>
        </row>
        <row r="3379">
          <cell r="L3379" t="str">
            <v>WA2503PT36BR</v>
          </cell>
          <cell r="BW3379">
            <v>135</v>
          </cell>
        </row>
        <row r="3380">
          <cell r="L3380" t="str">
            <v>WA2503PT36BR</v>
          </cell>
          <cell r="BW3380">
            <v>100</v>
          </cell>
        </row>
        <row r="3381">
          <cell r="L3381" t="str">
            <v>WA2503PT51BK</v>
          </cell>
          <cell r="BW3381">
            <v>235</v>
          </cell>
        </row>
        <row r="3382">
          <cell r="L3382" t="str">
            <v>WA2503PT51BK</v>
          </cell>
          <cell r="BW3382">
            <v>408</v>
          </cell>
        </row>
        <row r="3383">
          <cell r="L3383" t="str">
            <v>WA2503PT51GR</v>
          </cell>
          <cell r="BW3383">
            <v>123</v>
          </cell>
        </row>
        <row r="3384">
          <cell r="L3384" t="str">
            <v>WA2503PT51GR</v>
          </cell>
          <cell r="BW3384">
            <v>197</v>
          </cell>
        </row>
        <row r="3385">
          <cell r="L3385" t="str">
            <v>WA2503PT51NA</v>
          </cell>
          <cell r="BW3385">
            <v>114</v>
          </cell>
        </row>
        <row r="3386">
          <cell r="L3386" t="str">
            <v>WA2503PT51NA</v>
          </cell>
          <cell r="BW3386">
            <v>223</v>
          </cell>
        </row>
        <row r="3387">
          <cell r="L3387" t="str">
            <v>WA2503PT51OT</v>
          </cell>
          <cell r="BW3387">
            <v>293</v>
          </cell>
        </row>
        <row r="3388">
          <cell r="L3388" t="str">
            <v>WA2503PT51OT</v>
          </cell>
          <cell r="BW3388">
            <v>628</v>
          </cell>
        </row>
        <row r="3389">
          <cell r="L3389" t="str">
            <v>WA2503PT55BL</v>
          </cell>
          <cell r="BW3389">
            <v>71</v>
          </cell>
        </row>
        <row r="3390">
          <cell r="L3390" t="str">
            <v>WA2503PT55BL</v>
          </cell>
          <cell r="BW3390">
            <v>151</v>
          </cell>
        </row>
        <row r="3391">
          <cell r="L3391" t="str">
            <v>WA2503PT55BR</v>
          </cell>
          <cell r="BW3391">
            <v>116</v>
          </cell>
        </row>
        <row r="3392">
          <cell r="L3392" t="str">
            <v>WA2503PT55BR</v>
          </cell>
          <cell r="BW3392">
            <v>244</v>
          </cell>
        </row>
        <row r="3393">
          <cell r="L3393" t="str">
            <v>WA2503PT55GR</v>
          </cell>
          <cell r="BW3393">
            <v>196</v>
          </cell>
        </row>
        <row r="3394">
          <cell r="L3394" t="str">
            <v>WA2503PT55GR</v>
          </cell>
          <cell r="BW3394">
            <v>483</v>
          </cell>
        </row>
        <row r="3395">
          <cell r="L3395" t="str">
            <v>WA2503PT61CM</v>
          </cell>
          <cell r="BW3395">
            <v>59</v>
          </cell>
        </row>
        <row r="3396">
          <cell r="L3396" t="str">
            <v>WA2503PT61CM</v>
          </cell>
          <cell r="BW3396">
            <v>198</v>
          </cell>
        </row>
        <row r="3397">
          <cell r="L3397" t="str">
            <v>WA2503PT62DN</v>
          </cell>
          <cell r="BW3397">
            <v>123</v>
          </cell>
        </row>
        <row r="3398">
          <cell r="L3398" t="str">
            <v>WA2503PT62DN</v>
          </cell>
          <cell r="BW3398">
            <v>297</v>
          </cell>
        </row>
        <row r="3399">
          <cell r="L3399" t="str">
            <v>WA2503PT62OT</v>
          </cell>
          <cell r="BW3399">
            <v>184</v>
          </cell>
        </row>
        <row r="3400">
          <cell r="L3400" t="str">
            <v>WA2503PT62OT</v>
          </cell>
          <cell r="BW3400">
            <v>476</v>
          </cell>
        </row>
        <row r="3401">
          <cell r="L3401" t="str">
            <v>WA2503PT63CH</v>
          </cell>
          <cell r="BW3401">
            <v>39</v>
          </cell>
        </row>
        <row r="3402">
          <cell r="L3402" t="str">
            <v>WA2503PT63CH</v>
          </cell>
          <cell r="BW3402">
            <v>30</v>
          </cell>
        </row>
        <row r="3403">
          <cell r="L3403" t="str">
            <v>WA2503PT63CM</v>
          </cell>
          <cell r="BW3403">
            <v>135</v>
          </cell>
        </row>
        <row r="3404">
          <cell r="L3404" t="str">
            <v>WA2503PT63CM</v>
          </cell>
          <cell r="BW3404">
            <v>308</v>
          </cell>
        </row>
        <row r="3405">
          <cell r="L3405" t="str">
            <v>WA2503PT64BE</v>
          </cell>
          <cell r="BW3405">
            <v>130</v>
          </cell>
        </row>
        <row r="3406">
          <cell r="L3406" t="str">
            <v>WA2503PT64BE</v>
          </cell>
          <cell r="BW3406">
            <v>225</v>
          </cell>
        </row>
        <row r="3407">
          <cell r="L3407" t="str">
            <v>WA2503PT64BK</v>
          </cell>
          <cell r="BW3407">
            <v>211</v>
          </cell>
        </row>
        <row r="3408">
          <cell r="L3408" t="str">
            <v>WA2503PT64BK</v>
          </cell>
          <cell r="BW3408">
            <v>306</v>
          </cell>
        </row>
        <row r="3409">
          <cell r="L3409" t="str">
            <v>WA2503PT65BE</v>
          </cell>
          <cell r="BW3409">
            <v>139</v>
          </cell>
        </row>
        <row r="3410">
          <cell r="L3410" t="str">
            <v>WA2503PT65BE</v>
          </cell>
          <cell r="BW3410">
            <v>211</v>
          </cell>
        </row>
        <row r="3411">
          <cell r="L3411" t="str">
            <v>WA2503PT65BR</v>
          </cell>
          <cell r="BW3411">
            <v>90</v>
          </cell>
        </row>
        <row r="3412">
          <cell r="L3412" t="str">
            <v>WA2503PT65BR</v>
          </cell>
          <cell r="BW3412">
            <v>115</v>
          </cell>
        </row>
        <row r="3413">
          <cell r="L3413" t="str">
            <v>WA2503PT66BK</v>
          </cell>
          <cell r="BW3413">
            <v>294</v>
          </cell>
        </row>
        <row r="3414">
          <cell r="L3414" t="str">
            <v>WA2503PT66BK</v>
          </cell>
          <cell r="BW3414">
            <v>377</v>
          </cell>
        </row>
        <row r="3415">
          <cell r="L3415" t="str">
            <v>WA2503PT66CM</v>
          </cell>
          <cell r="BW3415">
            <v>200</v>
          </cell>
        </row>
        <row r="3416">
          <cell r="L3416" t="str">
            <v>WA2503PT66CM</v>
          </cell>
          <cell r="BW3416">
            <v>378</v>
          </cell>
        </row>
        <row r="3417">
          <cell r="L3417" t="str">
            <v>WA2503PT66PI</v>
          </cell>
          <cell r="BW3417">
            <v>116</v>
          </cell>
        </row>
        <row r="3418">
          <cell r="L3418" t="str">
            <v>WA2503PT66PI</v>
          </cell>
          <cell r="BW3418">
            <v>215</v>
          </cell>
        </row>
        <row r="3419">
          <cell r="L3419" t="str">
            <v>WA2503PT75BL</v>
          </cell>
          <cell r="BW3419">
            <v>26</v>
          </cell>
        </row>
        <row r="3420">
          <cell r="L3420" t="str">
            <v>WA2503PT75BL</v>
          </cell>
          <cell r="BW3420">
            <v>57</v>
          </cell>
        </row>
        <row r="3421">
          <cell r="L3421" t="str">
            <v>WA2503PT75BL</v>
          </cell>
          <cell r="BW3421">
            <v>125</v>
          </cell>
        </row>
        <row r="3422">
          <cell r="L3422" t="str">
            <v>WA2503PT75CM</v>
          </cell>
          <cell r="BW3422">
            <v>23</v>
          </cell>
        </row>
        <row r="3423">
          <cell r="L3423" t="str">
            <v>WA2503PT75CM</v>
          </cell>
          <cell r="BW3423">
            <v>64</v>
          </cell>
        </row>
        <row r="3424">
          <cell r="L3424" t="str">
            <v>WA2503PT75CM</v>
          </cell>
          <cell r="BW3424">
            <v>192</v>
          </cell>
        </row>
        <row r="3425">
          <cell r="L3425" t="str">
            <v>WA2503PT75IN</v>
          </cell>
          <cell r="BW3425">
            <v>38</v>
          </cell>
        </row>
        <row r="3426">
          <cell r="L3426" t="str">
            <v>WA2503PT75IN</v>
          </cell>
          <cell r="BW3426">
            <v>83</v>
          </cell>
        </row>
        <row r="3427">
          <cell r="L3427" t="str">
            <v>WA2503PT75IN</v>
          </cell>
          <cell r="BW3427">
            <v>244</v>
          </cell>
        </row>
        <row r="3428">
          <cell r="L3428" t="str">
            <v>WA2503PT76BK</v>
          </cell>
          <cell r="BW3428">
            <v>259</v>
          </cell>
        </row>
        <row r="3429">
          <cell r="L3429" t="str">
            <v>WA2503PT76BK</v>
          </cell>
          <cell r="BW3429">
            <v>308</v>
          </cell>
        </row>
        <row r="3430">
          <cell r="L3430" t="str">
            <v>WA2503PT76BR</v>
          </cell>
          <cell r="BW3430">
            <v>131</v>
          </cell>
        </row>
        <row r="3431">
          <cell r="L3431" t="str">
            <v>WA2503PT76BR</v>
          </cell>
          <cell r="BW3431">
            <v>201</v>
          </cell>
        </row>
        <row r="3432">
          <cell r="L3432" t="str">
            <v>WA2503PT81BK</v>
          </cell>
          <cell r="BW3432">
            <v>51</v>
          </cell>
        </row>
        <row r="3433">
          <cell r="L3433" t="str">
            <v>WA2503PT81BK</v>
          </cell>
          <cell r="BW3433">
            <v>73</v>
          </cell>
        </row>
        <row r="3434">
          <cell r="L3434" t="str">
            <v>WA2503PT81BK</v>
          </cell>
          <cell r="BW3434">
            <v>155</v>
          </cell>
        </row>
        <row r="3435">
          <cell r="L3435" t="str">
            <v>WA2503PT81LG</v>
          </cell>
          <cell r="BW3435">
            <v>62</v>
          </cell>
        </row>
        <row r="3436">
          <cell r="L3436" t="str">
            <v>WA2503PT81LG</v>
          </cell>
          <cell r="BW3436">
            <v>89</v>
          </cell>
        </row>
        <row r="3437">
          <cell r="L3437" t="str">
            <v>WA2503PT81LG</v>
          </cell>
          <cell r="BW3437">
            <v>173</v>
          </cell>
        </row>
        <row r="3438">
          <cell r="L3438" t="str">
            <v>WA2503PT81LK</v>
          </cell>
          <cell r="BW3438">
            <v>35</v>
          </cell>
        </row>
        <row r="3439">
          <cell r="L3439" t="str">
            <v>WA2503PT81LK</v>
          </cell>
          <cell r="BW3439">
            <v>54</v>
          </cell>
        </row>
        <row r="3440">
          <cell r="L3440" t="str">
            <v>WA2503PT81LK</v>
          </cell>
          <cell r="BW3440">
            <v>120</v>
          </cell>
        </row>
        <row r="3441">
          <cell r="L3441" t="str">
            <v>WA2503PTO1BK</v>
          </cell>
          <cell r="BW3441">
            <v>102</v>
          </cell>
        </row>
        <row r="3442">
          <cell r="L3442" t="str">
            <v>WA2503PTO1BK</v>
          </cell>
          <cell r="BW3442">
            <v>172</v>
          </cell>
        </row>
        <row r="3443">
          <cell r="L3443" t="str">
            <v>WA2503PTO1BK</v>
          </cell>
          <cell r="BW3443">
            <v>308</v>
          </cell>
        </row>
        <row r="3444">
          <cell r="L3444" t="str">
            <v>WA2503PTO1BK</v>
          </cell>
          <cell r="BW3444">
            <v>22</v>
          </cell>
        </row>
        <row r="3445">
          <cell r="L3445" t="str">
            <v>WA2503PTO1BK</v>
          </cell>
          <cell r="BW3445">
            <v>126</v>
          </cell>
        </row>
        <row r="3446">
          <cell r="L3446" t="str">
            <v>WA2503PTO1GR</v>
          </cell>
          <cell r="BW3446">
            <v>202</v>
          </cell>
        </row>
        <row r="3447">
          <cell r="L3447" t="str">
            <v>WA2503PTO1GR</v>
          </cell>
          <cell r="BW3447">
            <v>262</v>
          </cell>
        </row>
        <row r="3448">
          <cell r="L3448" t="str">
            <v>WA2503PTO1GR</v>
          </cell>
          <cell r="BW3448">
            <v>328</v>
          </cell>
        </row>
        <row r="3449">
          <cell r="L3449" t="str">
            <v>WA2503PTO1GR</v>
          </cell>
          <cell r="BW3449">
            <v>82</v>
          </cell>
        </row>
        <row r="3450">
          <cell r="L3450" t="str">
            <v>WA2503PTO1GR</v>
          </cell>
          <cell r="BW3450">
            <v>132</v>
          </cell>
        </row>
        <row r="3451">
          <cell r="L3451" t="str">
            <v>WA2503PTO1LG</v>
          </cell>
          <cell r="BW3451">
            <v>101</v>
          </cell>
        </row>
        <row r="3452">
          <cell r="L3452" t="str">
            <v>WA2503PTO1LG</v>
          </cell>
          <cell r="BW3452">
            <v>174</v>
          </cell>
        </row>
        <row r="3453">
          <cell r="L3453" t="str">
            <v>WA2503PTO1LG</v>
          </cell>
          <cell r="BW3453">
            <v>267</v>
          </cell>
        </row>
        <row r="3454">
          <cell r="L3454" t="str">
            <v>WA2503PTO1LG</v>
          </cell>
          <cell r="BW3454">
            <v>50</v>
          </cell>
        </row>
        <row r="3455">
          <cell r="L3455" t="str">
            <v>WA2503PTO1LG</v>
          </cell>
          <cell r="BW3455">
            <v>94</v>
          </cell>
        </row>
        <row r="3456">
          <cell r="L3456" t="str">
            <v>WA2503PTO2BK</v>
          </cell>
          <cell r="BW3456">
            <v>70</v>
          </cell>
        </row>
        <row r="3457">
          <cell r="L3457" t="str">
            <v>WA2503PTO2BK</v>
          </cell>
          <cell r="BW3457">
            <v>114</v>
          </cell>
        </row>
        <row r="3458">
          <cell r="L3458" t="str">
            <v>WA2503PTO2GR</v>
          </cell>
          <cell r="BW3458">
            <v>55</v>
          </cell>
        </row>
        <row r="3459">
          <cell r="L3459" t="str">
            <v>WA2503PTO2GR</v>
          </cell>
          <cell r="BW3459">
            <v>52</v>
          </cell>
        </row>
        <row r="3460">
          <cell r="L3460" t="str">
            <v>WA2503PTO3BK</v>
          </cell>
          <cell r="BW3460">
            <v>40</v>
          </cell>
        </row>
        <row r="3461">
          <cell r="L3461" t="str">
            <v>WA2503PTO3BK</v>
          </cell>
          <cell r="BW3461">
            <v>46</v>
          </cell>
        </row>
        <row r="3462">
          <cell r="L3462" t="str">
            <v>WA2503PTO3BK</v>
          </cell>
          <cell r="BW3462">
            <v>77</v>
          </cell>
        </row>
        <row r="3463">
          <cell r="L3463" t="str">
            <v>WA2503PTO3BK</v>
          </cell>
          <cell r="BW3463">
            <v>23</v>
          </cell>
        </row>
        <row r="3464">
          <cell r="L3464" t="str">
            <v>WA2503PTO3IN</v>
          </cell>
          <cell r="BW3464">
            <v>17</v>
          </cell>
        </row>
        <row r="3465">
          <cell r="L3465" t="str">
            <v>WA2503PTO3IN</v>
          </cell>
          <cell r="BW3465">
            <v>29</v>
          </cell>
        </row>
        <row r="3466">
          <cell r="L3466" t="str">
            <v>WA2503PTO3IN</v>
          </cell>
          <cell r="BW3466">
            <v>27</v>
          </cell>
        </row>
        <row r="3467">
          <cell r="L3467" t="str">
            <v>WA2503PTO3IN</v>
          </cell>
          <cell r="BW3467">
            <v>15</v>
          </cell>
        </row>
        <row r="3468">
          <cell r="L3468" t="str">
            <v>WA2503SH11GR</v>
          </cell>
          <cell r="BW3468">
            <v>49</v>
          </cell>
        </row>
        <row r="3469">
          <cell r="L3469" t="str">
            <v>WA2503SH11GR</v>
          </cell>
          <cell r="BW3469">
            <v>128</v>
          </cell>
        </row>
        <row r="3470">
          <cell r="L3470" t="str">
            <v>WA2503SH11GR</v>
          </cell>
          <cell r="BW3470">
            <v>62</v>
          </cell>
        </row>
        <row r="3471">
          <cell r="L3471" t="str">
            <v>WA2503SH11NA</v>
          </cell>
          <cell r="BW3471">
            <v>33</v>
          </cell>
        </row>
        <row r="3472">
          <cell r="L3472" t="str">
            <v>WA2503SH11NA</v>
          </cell>
          <cell r="BW3472">
            <v>75</v>
          </cell>
        </row>
        <row r="3473">
          <cell r="L3473" t="str">
            <v>WA2503SH11NA</v>
          </cell>
          <cell r="BW3473">
            <v>43</v>
          </cell>
        </row>
        <row r="3474">
          <cell r="L3474" t="str">
            <v>WA2503SH11PI</v>
          </cell>
          <cell r="BW3474">
            <v>80</v>
          </cell>
        </row>
        <row r="3475">
          <cell r="L3475" t="str">
            <v>WA2503SH11PI</v>
          </cell>
          <cell r="BW3475">
            <v>129</v>
          </cell>
        </row>
        <row r="3476">
          <cell r="L3476" t="str">
            <v>WA2503SH11PI</v>
          </cell>
          <cell r="BW3476">
            <v>38</v>
          </cell>
        </row>
        <row r="3477">
          <cell r="L3477" t="str">
            <v>WA2503SH31BK</v>
          </cell>
          <cell r="BW3477">
            <v>141</v>
          </cell>
        </row>
        <row r="3478">
          <cell r="L3478" t="str">
            <v>WA2503SH31BK</v>
          </cell>
          <cell r="BW3478">
            <v>155</v>
          </cell>
        </row>
        <row r="3479">
          <cell r="L3479" t="str">
            <v>WA2503SH31BK</v>
          </cell>
          <cell r="BW3479">
            <v>108</v>
          </cell>
        </row>
        <row r="3480">
          <cell r="L3480" t="str">
            <v>WA2503SH31BK</v>
          </cell>
          <cell r="BW3480">
            <v>66</v>
          </cell>
        </row>
        <row r="3481">
          <cell r="L3481" t="str">
            <v>WA2503SH31BL</v>
          </cell>
          <cell r="BW3481">
            <v>137</v>
          </cell>
        </row>
        <row r="3482">
          <cell r="L3482" t="str">
            <v>WA2503SH31BL</v>
          </cell>
          <cell r="BW3482">
            <v>130</v>
          </cell>
        </row>
        <row r="3483">
          <cell r="L3483" t="str">
            <v>WA2503SH31BL</v>
          </cell>
          <cell r="BW3483">
            <v>73</v>
          </cell>
        </row>
        <row r="3484">
          <cell r="L3484" t="str">
            <v>WA2503SH31BL</v>
          </cell>
          <cell r="BW3484">
            <v>52</v>
          </cell>
        </row>
        <row r="3485">
          <cell r="L3485" t="str">
            <v>WA2503SH31BR</v>
          </cell>
          <cell r="BW3485">
            <v>118</v>
          </cell>
        </row>
        <row r="3486">
          <cell r="L3486" t="str">
            <v>WA2503SH31BR</v>
          </cell>
          <cell r="BW3486">
            <v>108</v>
          </cell>
        </row>
        <row r="3487">
          <cell r="L3487" t="str">
            <v>WA2503SH31BR</v>
          </cell>
          <cell r="BW3487">
            <v>109</v>
          </cell>
        </row>
        <row r="3488">
          <cell r="L3488" t="str">
            <v>WA2503SH31BR</v>
          </cell>
          <cell r="BW3488">
            <v>48</v>
          </cell>
        </row>
        <row r="3489">
          <cell r="L3489" t="str">
            <v>WA2503SH31IN</v>
          </cell>
          <cell r="BW3489">
            <v>192</v>
          </cell>
        </row>
        <row r="3490">
          <cell r="L3490" t="str">
            <v>WA2503SH31IN</v>
          </cell>
          <cell r="BW3490">
            <v>175</v>
          </cell>
        </row>
        <row r="3491">
          <cell r="L3491" t="str">
            <v>WA2503SH31IN</v>
          </cell>
          <cell r="BW3491">
            <v>118</v>
          </cell>
        </row>
        <row r="3492">
          <cell r="L3492" t="str">
            <v>WA2503SH31IN</v>
          </cell>
          <cell r="BW3492">
            <v>76</v>
          </cell>
        </row>
        <row r="3493">
          <cell r="L3493" t="str">
            <v>WA2503SN01BR</v>
          </cell>
          <cell r="BW3493">
            <v>151</v>
          </cell>
        </row>
        <row r="3494">
          <cell r="L3494" t="str">
            <v>WA2503SN01BR</v>
          </cell>
          <cell r="BW3494">
            <v>384</v>
          </cell>
        </row>
        <row r="3495">
          <cell r="L3495" t="str">
            <v>WA2503SN01BR</v>
          </cell>
          <cell r="BW3495">
            <v>192</v>
          </cell>
        </row>
        <row r="3496">
          <cell r="L3496" t="str">
            <v>WA2503SN01BR</v>
          </cell>
          <cell r="BW3496">
            <v>91</v>
          </cell>
        </row>
        <row r="3497">
          <cell r="L3497" t="str">
            <v>WA2503SN01BR</v>
          </cell>
          <cell r="BW3497">
            <v>81</v>
          </cell>
        </row>
        <row r="3498">
          <cell r="L3498" t="str">
            <v>WA2503SN01BR</v>
          </cell>
          <cell r="BW3498">
            <v>67</v>
          </cell>
        </row>
        <row r="3499">
          <cell r="L3499" t="str">
            <v>WA2503SN01CH</v>
          </cell>
          <cell r="BW3499">
            <v>252</v>
          </cell>
        </row>
        <row r="3500">
          <cell r="L3500" t="str">
            <v>WA2503SN01CH</v>
          </cell>
          <cell r="BW3500">
            <v>545</v>
          </cell>
        </row>
        <row r="3501">
          <cell r="L3501" t="str">
            <v>WA2503SN01CH</v>
          </cell>
          <cell r="BW3501">
            <v>293</v>
          </cell>
        </row>
        <row r="3502">
          <cell r="L3502" t="str">
            <v>WA2503SN01CH</v>
          </cell>
          <cell r="BW3502">
            <v>139</v>
          </cell>
        </row>
        <row r="3503">
          <cell r="L3503" t="str">
            <v>WA2503SN01CH</v>
          </cell>
          <cell r="BW3503">
            <v>129</v>
          </cell>
        </row>
        <row r="3504">
          <cell r="L3504" t="str">
            <v>WA2503SN01CH</v>
          </cell>
          <cell r="BW3504">
            <v>89</v>
          </cell>
        </row>
        <row r="3505">
          <cell r="L3505" t="str">
            <v>WA2503SN01EC</v>
          </cell>
          <cell r="BW3505">
            <v>235</v>
          </cell>
        </row>
        <row r="3506">
          <cell r="L3506" t="str">
            <v>WA2503SN01EC</v>
          </cell>
          <cell r="BW3506">
            <v>515</v>
          </cell>
        </row>
        <row r="3507">
          <cell r="L3507" t="str">
            <v>WA2503SN01EC</v>
          </cell>
          <cell r="BW3507">
            <v>279</v>
          </cell>
        </row>
        <row r="3508">
          <cell r="L3508" t="str">
            <v>WA2503SN01EC</v>
          </cell>
          <cell r="BW3508">
            <v>132</v>
          </cell>
        </row>
        <row r="3509">
          <cell r="L3509" t="str">
            <v>WA2503SN01EC</v>
          </cell>
          <cell r="BW3509">
            <v>133</v>
          </cell>
        </row>
        <row r="3510">
          <cell r="L3510" t="str">
            <v>WA2503SN01EC</v>
          </cell>
          <cell r="BW3510">
            <v>90</v>
          </cell>
        </row>
        <row r="3511">
          <cell r="L3511" t="str">
            <v>WA2503SN01LB</v>
          </cell>
          <cell r="BW3511">
            <v>187</v>
          </cell>
        </row>
        <row r="3512">
          <cell r="L3512" t="str">
            <v>WA2503SN01LB</v>
          </cell>
          <cell r="BW3512">
            <v>305</v>
          </cell>
        </row>
        <row r="3513">
          <cell r="L3513" t="str">
            <v>WA2503SN01LB</v>
          </cell>
          <cell r="BW3513">
            <v>212</v>
          </cell>
        </row>
        <row r="3514">
          <cell r="L3514" t="str">
            <v>WA2503SN02BK</v>
          </cell>
          <cell r="BW3514">
            <v>146</v>
          </cell>
        </row>
        <row r="3515">
          <cell r="L3515" t="str">
            <v>WA2503SN02BK</v>
          </cell>
          <cell r="BW3515">
            <v>329</v>
          </cell>
        </row>
        <row r="3516">
          <cell r="L3516" t="str">
            <v>WA2503SN02BK</v>
          </cell>
          <cell r="BW3516">
            <v>150</v>
          </cell>
        </row>
        <row r="3517">
          <cell r="L3517" t="str">
            <v>WA2503SN02BK</v>
          </cell>
          <cell r="BW3517">
            <v>97</v>
          </cell>
        </row>
        <row r="3518">
          <cell r="L3518" t="str">
            <v>WA2503SN02BK</v>
          </cell>
          <cell r="BW3518">
            <v>72</v>
          </cell>
        </row>
        <row r="3519">
          <cell r="L3519" t="str">
            <v>WA2503SN02BK</v>
          </cell>
          <cell r="BW3519">
            <v>83</v>
          </cell>
        </row>
        <row r="3520">
          <cell r="L3520" t="str">
            <v>WA2503SN02BR</v>
          </cell>
          <cell r="BW3520">
            <v>151</v>
          </cell>
        </row>
        <row r="3521">
          <cell r="L3521" t="str">
            <v>WA2503SN02BR</v>
          </cell>
          <cell r="BW3521">
            <v>343</v>
          </cell>
        </row>
        <row r="3522">
          <cell r="L3522" t="str">
            <v>WA2503SN02BR</v>
          </cell>
          <cell r="BW3522">
            <v>166</v>
          </cell>
        </row>
        <row r="3523">
          <cell r="L3523" t="str">
            <v>WA2503SN02BR</v>
          </cell>
          <cell r="BW3523">
            <v>107</v>
          </cell>
        </row>
        <row r="3524">
          <cell r="L3524" t="str">
            <v>WA2503SN02BR</v>
          </cell>
          <cell r="BW3524">
            <v>80</v>
          </cell>
        </row>
        <row r="3525">
          <cell r="L3525" t="str">
            <v>WA2503SN02BR</v>
          </cell>
          <cell r="BW3525">
            <v>89</v>
          </cell>
        </row>
        <row r="3526">
          <cell r="L3526" t="str">
            <v>WA2503SN02GR</v>
          </cell>
          <cell r="BW3526">
            <v>144</v>
          </cell>
        </row>
        <row r="3527">
          <cell r="L3527" t="str">
            <v>WA2503SN02GR</v>
          </cell>
          <cell r="BW3527">
            <v>335</v>
          </cell>
        </row>
        <row r="3528">
          <cell r="L3528" t="str">
            <v>WA2503SN02GR</v>
          </cell>
          <cell r="BW3528">
            <v>169</v>
          </cell>
        </row>
        <row r="3529">
          <cell r="L3529" t="str">
            <v>WA2503SN02GR</v>
          </cell>
          <cell r="BW3529">
            <v>113</v>
          </cell>
        </row>
        <row r="3530">
          <cell r="L3530" t="str">
            <v>WA2503SN02GR</v>
          </cell>
          <cell r="BW3530">
            <v>79</v>
          </cell>
        </row>
        <row r="3531">
          <cell r="L3531" t="str">
            <v>WA2503SN02GR</v>
          </cell>
          <cell r="BW3531">
            <v>93</v>
          </cell>
        </row>
        <row r="3532">
          <cell r="L3532" t="str">
            <v>WA2503SN03BK</v>
          </cell>
          <cell r="BW3532">
            <v>166</v>
          </cell>
        </row>
        <row r="3533">
          <cell r="L3533" t="str">
            <v>WA2503SN03BK</v>
          </cell>
          <cell r="BW3533">
            <v>260</v>
          </cell>
        </row>
        <row r="3534">
          <cell r="L3534" t="str">
            <v>WA2503SN03BK</v>
          </cell>
          <cell r="BW3534">
            <v>204</v>
          </cell>
        </row>
        <row r="3535">
          <cell r="L3535" t="str">
            <v>WA2503SN03SV</v>
          </cell>
          <cell r="BW3535">
            <v>96</v>
          </cell>
        </row>
        <row r="3536">
          <cell r="L3536" t="str">
            <v>WA2503SN03SV</v>
          </cell>
          <cell r="BW3536">
            <v>176</v>
          </cell>
        </row>
        <row r="3537">
          <cell r="L3537" t="str">
            <v>WA2503SN03SV</v>
          </cell>
          <cell r="BW3537">
            <v>112</v>
          </cell>
        </row>
        <row r="3538">
          <cell r="L3538" t="str">
            <v>WA2503SN04BK</v>
          </cell>
          <cell r="BW3538">
            <v>198</v>
          </cell>
        </row>
        <row r="3539">
          <cell r="L3539" t="str">
            <v>WA2503SN04BK</v>
          </cell>
          <cell r="BW3539">
            <v>469</v>
          </cell>
        </row>
        <row r="3540">
          <cell r="L3540" t="str">
            <v>WA2503SN04BK</v>
          </cell>
          <cell r="BW3540">
            <v>255</v>
          </cell>
        </row>
        <row r="3541">
          <cell r="L3541" t="str">
            <v>WA2503SN04BK</v>
          </cell>
          <cell r="BW3541">
            <v>121</v>
          </cell>
        </row>
        <row r="3542">
          <cell r="L3542" t="str">
            <v>WA2503SN04BK</v>
          </cell>
          <cell r="BW3542">
            <v>121</v>
          </cell>
        </row>
        <row r="3543">
          <cell r="L3543" t="str">
            <v>WA2503SN04BK</v>
          </cell>
          <cell r="BW3543">
            <v>87</v>
          </cell>
        </row>
        <row r="3544">
          <cell r="L3544" t="str">
            <v>WA2503SN04CE</v>
          </cell>
          <cell r="BW3544">
            <v>198</v>
          </cell>
        </row>
        <row r="3545">
          <cell r="L3545" t="str">
            <v>WA2503SN04CE</v>
          </cell>
          <cell r="BW3545">
            <v>491</v>
          </cell>
        </row>
        <row r="3546">
          <cell r="L3546" t="str">
            <v>WA2503SN04CE</v>
          </cell>
          <cell r="BW3546">
            <v>253</v>
          </cell>
        </row>
        <row r="3547">
          <cell r="L3547" t="str">
            <v>WA2503SN04CE</v>
          </cell>
          <cell r="BW3547">
            <v>123</v>
          </cell>
        </row>
        <row r="3548">
          <cell r="L3548" t="str">
            <v>WA2503SN04CE</v>
          </cell>
          <cell r="BW3548">
            <v>138</v>
          </cell>
        </row>
        <row r="3549">
          <cell r="L3549" t="str">
            <v>WA2503SN04CE</v>
          </cell>
          <cell r="BW3549">
            <v>85</v>
          </cell>
        </row>
        <row r="3550">
          <cell r="L3550" t="str">
            <v>WA2503SN04KH</v>
          </cell>
          <cell r="BW3550">
            <v>130</v>
          </cell>
        </row>
        <row r="3551">
          <cell r="L3551" t="str">
            <v>WA2503SN04KH</v>
          </cell>
          <cell r="BW3551">
            <v>320</v>
          </cell>
        </row>
        <row r="3552">
          <cell r="L3552" t="str">
            <v>WA2503SN04KH</v>
          </cell>
          <cell r="BW3552">
            <v>180</v>
          </cell>
        </row>
        <row r="3553">
          <cell r="L3553" t="str">
            <v>WA2503SN04KH</v>
          </cell>
          <cell r="BW3553">
            <v>92</v>
          </cell>
        </row>
        <row r="3554">
          <cell r="L3554" t="str">
            <v>WA2503SN04KH</v>
          </cell>
          <cell r="BW3554">
            <v>91</v>
          </cell>
        </row>
        <row r="3555">
          <cell r="L3555" t="str">
            <v>WA2503SN04KH</v>
          </cell>
          <cell r="BW3555">
            <v>89</v>
          </cell>
        </row>
        <row r="3556">
          <cell r="L3556" t="str">
            <v>WA2503SO61BR</v>
          </cell>
          <cell r="BW3556">
            <v>128</v>
          </cell>
        </row>
        <row r="3557">
          <cell r="L3557" t="str">
            <v>WA2503SO61BR</v>
          </cell>
          <cell r="BW3557">
            <v>200</v>
          </cell>
        </row>
        <row r="3558">
          <cell r="L3558" t="str">
            <v>WA2503SO61TC</v>
          </cell>
          <cell r="BW3558">
            <v>79</v>
          </cell>
        </row>
        <row r="3559">
          <cell r="L3559" t="str">
            <v>WA2503SO61TC</v>
          </cell>
          <cell r="BW3559">
            <v>136</v>
          </cell>
        </row>
        <row r="3560">
          <cell r="L3560" t="str">
            <v>WA2503SR61BE</v>
          </cell>
          <cell r="BW3560">
            <v>87</v>
          </cell>
        </row>
        <row r="3561">
          <cell r="L3561" t="str">
            <v>WA2503SR61BE</v>
          </cell>
          <cell r="BW3561">
            <v>136</v>
          </cell>
        </row>
        <row r="3562">
          <cell r="L3562" t="str">
            <v>WA2503SR62TC</v>
          </cell>
          <cell r="BW3562">
            <v>30</v>
          </cell>
        </row>
        <row r="3563">
          <cell r="L3563" t="str">
            <v>WA2503SR62TC</v>
          </cell>
          <cell r="BW3563">
            <v>61</v>
          </cell>
        </row>
        <row r="3564">
          <cell r="L3564" t="str">
            <v>WA2503SR63BK</v>
          </cell>
          <cell r="BW3564">
            <v>300</v>
          </cell>
        </row>
        <row r="3565">
          <cell r="L3565" t="str">
            <v>WA2503SR63BK</v>
          </cell>
          <cell r="BW3565">
            <v>335</v>
          </cell>
        </row>
        <row r="3566">
          <cell r="L3566" t="str">
            <v>WA2503SR63CM</v>
          </cell>
          <cell r="BW3566">
            <v>118</v>
          </cell>
        </row>
        <row r="3567">
          <cell r="L3567" t="str">
            <v>WA2503SR63CM</v>
          </cell>
          <cell r="BW3567">
            <v>158</v>
          </cell>
        </row>
        <row r="3568">
          <cell r="L3568" t="str">
            <v>WA2503SR64LK</v>
          </cell>
          <cell r="BW3568">
            <v>159</v>
          </cell>
        </row>
        <row r="3569">
          <cell r="L3569" t="str">
            <v>WA2503SR64LK</v>
          </cell>
          <cell r="BW3569">
            <v>275</v>
          </cell>
        </row>
        <row r="3570">
          <cell r="L3570" t="str">
            <v>WA2503SR75BK</v>
          </cell>
          <cell r="BW3570">
            <v>244</v>
          </cell>
        </row>
        <row r="3571">
          <cell r="L3571" t="str">
            <v>WA2503SR75BK</v>
          </cell>
          <cell r="BW3571">
            <v>274</v>
          </cell>
        </row>
        <row r="3572">
          <cell r="L3572" t="str">
            <v>WA2503SR75BL</v>
          </cell>
          <cell r="BW3572">
            <v>208</v>
          </cell>
        </row>
        <row r="3573">
          <cell r="L3573" t="str">
            <v>WA2503SR75BL</v>
          </cell>
          <cell r="BW3573">
            <v>294</v>
          </cell>
        </row>
        <row r="3574">
          <cell r="L3574" t="str">
            <v>WA2503SR76BK</v>
          </cell>
          <cell r="BW3574">
            <v>61</v>
          </cell>
        </row>
        <row r="3575">
          <cell r="L3575" t="str">
            <v>WA2503SR76BK</v>
          </cell>
          <cell r="BW3575">
            <v>76</v>
          </cell>
        </row>
        <row r="3576">
          <cell r="L3576" t="str">
            <v>WA2503ST09BK</v>
          </cell>
          <cell r="BW3576">
            <v>46</v>
          </cell>
        </row>
        <row r="3577">
          <cell r="L3577" t="str">
            <v>WA2503ST09BK</v>
          </cell>
          <cell r="BW3577">
            <v>51</v>
          </cell>
        </row>
        <row r="3578">
          <cell r="L3578" t="str">
            <v>WA2503ST09BK</v>
          </cell>
          <cell r="BW3578">
            <v>73</v>
          </cell>
        </row>
        <row r="3579">
          <cell r="L3579" t="str">
            <v>WA2503ST09BK</v>
          </cell>
          <cell r="BW3579">
            <v>31</v>
          </cell>
        </row>
        <row r="3580">
          <cell r="L3580" t="str">
            <v>WA2503ST09BK</v>
          </cell>
          <cell r="BW3580">
            <v>40</v>
          </cell>
        </row>
        <row r="3581">
          <cell r="L3581" t="str">
            <v>WA2503ST09BK</v>
          </cell>
          <cell r="BW3581">
            <v>29</v>
          </cell>
        </row>
        <row r="3582">
          <cell r="L3582" t="str">
            <v>WA2503ST09WH</v>
          </cell>
          <cell r="BW3582">
            <v>50</v>
          </cell>
        </row>
        <row r="3583">
          <cell r="L3583" t="str">
            <v>WA2503ST09WH</v>
          </cell>
          <cell r="BW3583">
            <v>53</v>
          </cell>
        </row>
        <row r="3584">
          <cell r="L3584" t="str">
            <v>WA2503ST09WH</v>
          </cell>
          <cell r="BW3584">
            <v>69</v>
          </cell>
        </row>
        <row r="3585">
          <cell r="L3585" t="str">
            <v>WA2503ST09WH</v>
          </cell>
          <cell r="BW3585">
            <v>49</v>
          </cell>
        </row>
        <row r="3586">
          <cell r="L3586" t="str">
            <v>WA2503ST09WH</v>
          </cell>
          <cell r="BW3586">
            <v>41</v>
          </cell>
        </row>
        <row r="3587">
          <cell r="L3587" t="str">
            <v>WA2503ST09WH</v>
          </cell>
          <cell r="BW3587">
            <v>33</v>
          </cell>
        </row>
        <row r="3588">
          <cell r="L3588" t="str">
            <v>WA2503ST11BK</v>
          </cell>
          <cell r="BW3588">
            <v>76</v>
          </cell>
        </row>
        <row r="3589">
          <cell r="L3589" t="str">
            <v>WA2503ST11BK</v>
          </cell>
          <cell r="BW3589">
            <v>136</v>
          </cell>
        </row>
        <row r="3590">
          <cell r="L3590" t="str">
            <v>WA2503ST11BK</v>
          </cell>
          <cell r="BW3590">
            <v>117</v>
          </cell>
        </row>
        <row r="3591">
          <cell r="L3591" t="str">
            <v>WA2503ST11BK</v>
          </cell>
          <cell r="BW3591">
            <v>91</v>
          </cell>
        </row>
        <row r="3592">
          <cell r="L3592" t="str">
            <v>WA2503ST11LG</v>
          </cell>
          <cell r="BW3592">
            <v>173</v>
          </cell>
        </row>
        <row r="3593">
          <cell r="L3593" t="str">
            <v>WA2503ST11LG</v>
          </cell>
          <cell r="BW3593">
            <v>192</v>
          </cell>
        </row>
        <row r="3594">
          <cell r="L3594" t="str">
            <v>WA2503ST11LG</v>
          </cell>
          <cell r="BW3594">
            <v>145</v>
          </cell>
        </row>
        <row r="3595">
          <cell r="L3595" t="str">
            <v>WA2503ST11LG</v>
          </cell>
          <cell r="BW3595">
            <v>123</v>
          </cell>
        </row>
        <row r="3596">
          <cell r="L3596" t="str">
            <v>WA2503ST12WH</v>
          </cell>
          <cell r="BW3596">
            <v>158</v>
          </cell>
        </row>
        <row r="3597">
          <cell r="L3597" t="str">
            <v>WA2503ST12WH</v>
          </cell>
          <cell r="BW3597">
            <v>181</v>
          </cell>
        </row>
        <row r="3598">
          <cell r="L3598" t="str">
            <v>WA2503ST12WH</v>
          </cell>
          <cell r="BW3598">
            <v>109</v>
          </cell>
        </row>
        <row r="3599">
          <cell r="L3599" t="str">
            <v>WA2503ST12WH</v>
          </cell>
          <cell r="BW3599">
            <v>99</v>
          </cell>
        </row>
        <row r="3600">
          <cell r="L3600" t="str">
            <v>WA2503ST12YE</v>
          </cell>
          <cell r="BW3600">
            <v>51</v>
          </cell>
        </row>
        <row r="3601">
          <cell r="L3601" t="str">
            <v>WA2503ST12YE</v>
          </cell>
          <cell r="BW3601">
            <v>119</v>
          </cell>
        </row>
        <row r="3602">
          <cell r="L3602" t="str">
            <v>WA2503ST12YE</v>
          </cell>
          <cell r="BW3602">
            <v>115</v>
          </cell>
        </row>
        <row r="3603">
          <cell r="L3603" t="str">
            <v>WA2503ST13BE</v>
          </cell>
          <cell r="BW3603">
            <v>57</v>
          </cell>
        </row>
        <row r="3604">
          <cell r="L3604" t="str">
            <v>WA2503ST13BE</v>
          </cell>
          <cell r="BW3604">
            <v>65</v>
          </cell>
        </row>
        <row r="3605">
          <cell r="L3605" t="str">
            <v>WA2503ST13BE</v>
          </cell>
          <cell r="BW3605">
            <v>58</v>
          </cell>
        </row>
        <row r="3606">
          <cell r="L3606" t="str">
            <v>WA2503ST13BL</v>
          </cell>
          <cell r="BW3606">
            <v>195</v>
          </cell>
        </row>
        <row r="3607">
          <cell r="L3607" t="str">
            <v>WA2503ST13BL</v>
          </cell>
          <cell r="BW3607">
            <v>251</v>
          </cell>
        </row>
        <row r="3608">
          <cell r="L3608" t="str">
            <v>WA2503ST13BL</v>
          </cell>
          <cell r="BW3608">
            <v>184</v>
          </cell>
        </row>
        <row r="3609">
          <cell r="L3609" t="str">
            <v>WA2503ST13BL</v>
          </cell>
          <cell r="BW3609">
            <v>120</v>
          </cell>
        </row>
        <row r="3610">
          <cell r="L3610" t="str">
            <v>WA2503ST13CH</v>
          </cell>
          <cell r="BW3610">
            <v>52</v>
          </cell>
        </row>
        <row r="3611">
          <cell r="L3611" t="str">
            <v>WA2503ST13CH</v>
          </cell>
          <cell r="BW3611">
            <v>110</v>
          </cell>
        </row>
        <row r="3612">
          <cell r="L3612" t="str">
            <v>WA2503ST13CH</v>
          </cell>
          <cell r="BW3612">
            <v>122</v>
          </cell>
        </row>
        <row r="3613">
          <cell r="L3613" t="str">
            <v>WA2503ST13CH</v>
          </cell>
          <cell r="BW3613">
            <v>23</v>
          </cell>
        </row>
        <row r="3614">
          <cell r="L3614" t="str">
            <v>WA2503ST14BK</v>
          </cell>
          <cell r="BW3614">
            <v>35</v>
          </cell>
        </row>
        <row r="3615">
          <cell r="L3615" t="str">
            <v>WA2503ST14BK</v>
          </cell>
          <cell r="BW3615">
            <v>46</v>
          </cell>
        </row>
        <row r="3616">
          <cell r="L3616" t="str">
            <v>WA2503ST14BK</v>
          </cell>
          <cell r="BW3616">
            <v>42</v>
          </cell>
        </row>
        <row r="3617">
          <cell r="L3617" t="str">
            <v>WA2503ST14BK</v>
          </cell>
          <cell r="BW3617">
            <v>11</v>
          </cell>
        </row>
        <row r="3618">
          <cell r="L3618" t="str">
            <v>WA2503ST14WH</v>
          </cell>
          <cell r="BW3618">
            <v>93</v>
          </cell>
        </row>
        <row r="3619">
          <cell r="L3619" t="str">
            <v>WA2503ST14WH</v>
          </cell>
          <cell r="BW3619">
            <v>48</v>
          </cell>
        </row>
        <row r="3620">
          <cell r="L3620" t="str">
            <v>WA2503ST14WH</v>
          </cell>
          <cell r="BW3620">
            <v>49</v>
          </cell>
        </row>
        <row r="3621">
          <cell r="L3621" t="str">
            <v>WA2503ST14WH</v>
          </cell>
          <cell r="BW3621">
            <v>45</v>
          </cell>
        </row>
        <row r="3622">
          <cell r="L3622" t="str">
            <v>WA2503ST15BK</v>
          </cell>
          <cell r="BW3622">
            <v>205</v>
          </cell>
        </row>
        <row r="3623">
          <cell r="L3623" t="str">
            <v>WA2503ST15BK</v>
          </cell>
          <cell r="BW3623">
            <v>381</v>
          </cell>
        </row>
        <row r="3624">
          <cell r="L3624" t="str">
            <v>WA2503ST15BK</v>
          </cell>
          <cell r="BW3624">
            <v>371</v>
          </cell>
        </row>
        <row r="3625">
          <cell r="L3625" t="str">
            <v>WA2503ST15BK</v>
          </cell>
          <cell r="BW3625">
            <v>82</v>
          </cell>
        </row>
        <row r="3626">
          <cell r="L3626" t="str">
            <v>WA2503ST15BK</v>
          </cell>
          <cell r="BW3626">
            <v>51</v>
          </cell>
        </row>
        <row r="3627">
          <cell r="L3627" t="str">
            <v>WA2503ST15WH</v>
          </cell>
          <cell r="BW3627">
            <v>284</v>
          </cell>
        </row>
        <row r="3628">
          <cell r="L3628" t="str">
            <v>WA2503ST15WH</v>
          </cell>
          <cell r="BW3628">
            <v>270</v>
          </cell>
        </row>
        <row r="3629">
          <cell r="L3629" t="str">
            <v>WA2503ST15WH</v>
          </cell>
          <cell r="BW3629">
            <v>224</v>
          </cell>
        </row>
        <row r="3630">
          <cell r="L3630" t="str">
            <v>WA2503ST15WH</v>
          </cell>
          <cell r="BW3630">
            <v>152</v>
          </cell>
        </row>
        <row r="3631">
          <cell r="L3631" t="str">
            <v>WA2503ST15WH</v>
          </cell>
          <cell r="BW3631">
            <v>48</v>
          </cell>
        </row>
        <row r="3632">
          <cell r="L3632" t="str">
            <v>WA2503ST16CH</v>
          </cell>
          <cell r="BW3632">
            <v>28</v>
          </cell>
        </row>
        <row r="3633">
          <cell r="L3633" t="str">
            <v>WA2503ST16CH</v>
          </cell>
          <cell r="BW3633">
            <v>43</v>
          </cell>
        </row>
        <row r="3634">
          <cell r="L3634" t="str">
            <v>WA2503ST16CH</v>
          </cell>
          <cell r="BW3634">
            <v>64</v>
          </cell>
        </row>
        <row r="3635">
          <cell r="L3635" t="str">
            <v>WA2503ST16CH</v>
          </cell>
          <cell r="BW3635">
            <v>14</v>
          </cell>
        </row>
        <row r="3636">
          <cell r="L3636" t="str">
            <v>WA2503ST16WH</v>
          </cell>
          <cell r="BW3636">
            <v>117</v>
          </cell>
        </row>
        <row r="3637">
          <cell r="L3637" t="str">
            <v>WA2503ST16WH</v>
          </cell>
          <cell r="BW3637">
            <v>91</v>
          </cell>
        </row>
        <row r="3638">
          <cell r="L3638" t="str">
            <v>WA2503ST16WH</v>
          </cell>
          <cell r="BW3638">
            <v>62</v>
          </cell>
        </row>
        <row r="3639">
          <cell r="L3639" t="str">
            <v>WA2503ST16WH</v>
          </cell>
          <cell r="BW3639">
            <v>83</v>
          </cell>
        </row>
        <row r="3640">
          <cell r="L3640" t="str">
            <v>WA2503ST22WH</v>
          </cell>
          <cell r="BW3640">
            <v>81</v>
          </cell>
        </row>
        <row r="3641">
          <cell r="L3641" t="str">
            <v>WA2503ST22WH</v>
          </cell>
          <cell r="BW3641">
            <v>77</v>
          </cell>
        </row>
        <row r="3642">
          <cell r="L3642" t="str">
            <v>WA2503ST22WH</v>
          </cell>
          <cell r="BW3642">
            <v>59</v>
          </cell>
        </row>
        <row r="3643">
          <cell r="L3643" t="str">
            <v>WA2503ST22WH</v>
          </cell>
          <cell r="BW3643">
            <v>70</v>
          </cell>
        </row>
        <row r="3644">
          <cell r="L3644" t="str">
            <v>WA2503ST25BK</v>
          </cell>
          <cell r="BW3644">
            <v>26</v>
          </cell>
        </row>
        <row r="3645">
          <cell r="L3645" t="str">
            <v>WA2503ST25BK</v>
          </cell>
          <cell r="BW3645">
            <v>28</v>
          </cell>
        </row>
        <row r="3646">
          <cell r="L3646" t="str">
            <v>WA2503ST25BK</v>
          </cell>
          <cell r="BW3646">
            <v>52</v>
          </cell>
        </row>
        <row r="3647">
          <cell r="L3647" t="str">
            <v>WA2503ST25BK</v>
          </cell>
          <cell r="BW3647">
            <v>7</v>
          </cell>
        </row>
        <row r="3648">
          <cell r="L3648" t="str">
            <v>WA2503ST25WH</v>
          </cell>
          <cell r="BW3648">
            <v>58</v>
          </cell>
        </row>
        <row r="3649">
          <cell r="L3649" t="str">
            <v>WA2503ST25WH</v>
          </cell>
          <cell r="BW3649">
            <v>47</v>
          </cell>
        </row>
        <row r="3650">
          <cell r="L3650" t="str">
            <v>WA2503ST25WH</v>
          </cell>
          <cell r="BW3650">
            <v>37</v>
          </cell>
        </row>
        <row r="3651">
          <cell r="L3651" t="str">
            <v>WA2503ST25WH</v>
          </cell>
          <cell r="BW3651">
            <v>61</v>
          </cell>
        </row>
        <row r="3652">
          <cell r="L3652" t="str">
            <v>WA2503ST25YE</v>
          </cell>
          <cell r="BW3652">
            <v>29</v>
          </cell>
        </row>
        <row r="3653">
          <cell r="L3653" t="str">
            <v>WA2503ST25YE</v>
          </cell>
          <cell r="BW3653">
            <v>25</v>
          </cell>
        </row>
        <row r="3654">
          <cell r="L3654" t="str">
            <v>WA2503ST25YE</v>
          </cell>
          <cell r="BW3654">
            <v>35</v>
          </cell>
        </row>
        <row r="3655">
          <cell r="L3655" t="str">
            <v>WA2503ST25YE</v>
          </cell>
          <cell r="BW3655">
            <v>24</v>
          </cell>
        </row>
        <row r="3656">
          <cell r="L3656" t="str">
            <v>WA2503ST30LG</v>
          </cell>
          <cell r="BW3656">
            <v>51</v>
          </cell>
        </row>
        <row r="3657">
          <cell r="L3657" t="str">
            <v>WA2503ST30LG</v>
          </cell>
          <cell r="BW3657">
            <v>44</v>
          </cell>
        </row>
        <row r="3658">
          <cell r="L3658" t="str">
            <v>WA2503ST30LG</v>
          </cell>
          <cell r="BW3658">
            <v>39</v>
          </cell>
        </row>
        <row r="3659">
          <cell r="L3659" t="str">
            <v>WA2503ST30LG</v>
          </cell>
          <cell r="BW3659">
            <v>53</v>
          </cell>
        </row>
        <row r="3660">
          <cell r="L3660" t="str">
            <v>WA2503ST30WH</v>
          </cell>
          <cell r="BW3660">
            <v>32</v>
          </cell>
        </row>
        <row r="3661">
          <cell r="L3661" t="str">
            <v>WA2503ST30WH</v>
          </cell>
          <cell r="BW3661">
            <v>26</v>
          </cell>
        </row>
        <row r="3662">
          <cell r="L3662" t="str">
            <v>WA2503ST30WH</v>
          </cell>
          <cell r="BW3662">
            <v>15</v>
          </cell>
        </row>
        <row r="3663">
          <cell r="L3663" t="str">
            <v>WA2503ST30WH</v>
          </cell>
          <cell r="BW3663">
            <v>62</v>
          </cell>
        </row>
        <row r="3664">
          <cell r="L3664" t="str">
            <v>WA2503ST33BK</v>
          </cell>
          <cell r="BW3664">
            <v>28</v>
          </cell>
        </row>
        <row r="3665">
          <cell r="L3665" t="str">
            <v>WA2503ST33BK</v>
          </cell>
          <cell r="BW3665">
            <v>28</v>
          </cell>
        </row>
        <row r="3666">
          <cell r="L3666" t="str">
            <v>WA2503ST33BK</v>
          </cell>
          <cell r="BW3666">
            <v>61</v>
          </cell>
        </row>
        <row r="3667">
          <cell r="L3667" t="str">
            <v>WA2503ST33BK</v>
          </cell>
          <cell r="BW3667">
            <v>29</v>
          </cell>
        </row>
        <row r="3668">
          <cell r="L3668" t="str">
            <v>WA2503ST33CM</v>
          </cell>
          <cell r="BW3668">
            <v>76</v>
          </cell>
        </row>
        <row r="3669">
          <cell r="L3669" t="str">
            <v>WA2503ST33CM</v>
          </cell>
          <cell r="BW3669">
            <v>91</v>
          </cell>
        </row>
        <row r="3670">
          <cell r="L3670" t="str">
            <v>WA2503ST33CM</v>
          </cell>
          <cell r="BW3670">
            <v>73</v>
          </cell>
        </row>
        <row r="3671">
          <cell r="L3671" t="str">
            <v>WA2503ST33CM</v>
          </cell>
          <cell r="BW3671">
            <v>51</v>
          </cell>
        </row>
        <row r="3672">
          <cell r="L3672" t="str">
            <v>WA2503ST34BK</v>
          </cell>
          <cell r="BW3672">
            <v>76</v>
          </cell>
        </row>
        <row r="3673">
          <cell r="L3673" t="str">
            <v>WA2503ST34BK</v>
          </cell>
          <cell r="BW3673">
            <v>148</v>
          </cell>
        </row>
        <row r="3674">
          <cell r="L3674" t="str">
            <v>WA2503ST34BK</v>
          </cell>
          <cell r="BW3674">
            <v>148</v>
          </cell>
        </row>
        <row r="3675">
          <cell r="L3675" t="str">
            <v>WA2503ST34BK</v>
          </cell>
          <cell r="BW3675">
            <v>56</v>
          </cell>
        </row>
        <row r="3676">
          <cell r="L3676" t="str">
            <v>WA2503ST34LG</v>
          </cell>
          <cell r="BW3676">
            <v>40</v>
          </cell>
        </row>
        <row r="3677">
          <cell r="L3677" t="str">
            <v>WA2503ST34LG</v>
          </cell>
          <cell r="BW3677">
            <v>49</v>
          </cell>
        </row>
        <row r="3678">
          <cell r="L3678" t="str">
            <v>WA2503ST34LG</v>
          </cell>
          <cell r="BW3678">
            <v>72</v>
          </cell>
        </row>
        <row r="3679">
          <cell r="L3679" t="str">
            <v>WA2503ST34LG</v>
          </cell>
          <cell r="BW3679">
            <v>32</v>
          </cell>
        </row>
        <row r="3680">
          <cell r="L3680" t="str">
            <v>WA2503ST34WH</v>
          </cell>
          <cell r="BW3680">
            <v>44</v>
          </cell>
        </row>
        <row r="3681">
          <cell r="L3681" t="str">
            <v>WA2503ST34WH</v>
          </cell>
          <cell r="BW3681">
            <v>94</v>
          </cell>
        </row>
        <row r="3682">
          <cell r="L3682" t="str">
            <v>WA2503ST34WH</v>
          </cell>
          <cell r="BW3682">
            <v>74</v>
          </cell>
        </row>
        <row r="3683">
          <cell r="L3683" t="str">
            <v>WA2503ST34WH</v>
          </cell>
          <cell r="BW3683">
            <v>60</v>
          </cell>
        </row>
        <row r="3684">
          <cell r="L3684" t="str">
            <v>WA2503ST35BL</v>
          </cell>
          <cell r="BW3684">
            <v>31</v>
          </cell>
        </row>
        <row r="3685">
          <cell r="L3685" t="str">
            <v>WA2503ST35BL</v>
          </cell>
          <cell r="BW3685">
            <v>36</v>
          </cell>
        </row>
        <row r="3686">
          <cell r="L3686" t="str">
            <v>WA2503ST35BL</v>
          </cell>
          <cell r="BW3686">
            <v>49</v>
          </cell>
        </row>
        <row r="3687">
          <cell r="L3687" t="str">
            <v>WA2503ST35BL</v>
          </cell>
          <cell r="BW3687">
            <v>16</v>
          </cell>
        </row>
        <row r="3688">
          <cell r="L3688" t="str">
            <v>WA2503ST35CH</v>
          </cell>
          <cell r="BW3688">
            <v>61</v>
          </cell>
        </row>
        <row r="3689">
          <cell r="L3689" t="str">
            <v>WA2503ST35CH</v>
          </cell>
          <cell r="BW3689">
            <v>57</v>
          </cell>
        </row>
        <row r="3690">
          <cell r="L3690" t="str">
            <v>WA2503ST35CH</v>
          </cell>
          <cell r="BW3690">
            <v>92</v>
          </cell>
        </row>
        <row r="3691">
          <cell r="L3691" t="str">
            <v>WA2503ST35CH</v>
          </cell>
          <cell r="BW3691">
            <v>17</v>
          </cell>
        </row>
        <row r="3692">
          <cell r="L3692" t="str">
            <v>WA2503ST72IV</v>
          </cell>
          <cell r="BW3692">
            <v>42</v>
          </cell>
        </row>
        <row r="3693">
          <cell r="L3693" t="str">
            <v>WA2503ST72IV</v>
          </cell>
          <cell r="BW3693">
            <v>20</v>
          </cell>
        </row>
        <row r="3694">
          <cell r="L3694" t="str">
            <v>WA2503ST72NA</v>
          </cell>
          <cell r="BW3694">
            <v>8</v>
          </cell>
        </row>
        <row r="3695">
          <cell r="L3695" t="str">
            <v>WA2503ST72NA</v>
          </cell>
          <cell r="BW3695">
            <v>12</v>
          </cell>
        </row>
        <row r="3696">
          <cell r="L3696" t="str">
            <v>WA2503ST75LG</v>
          </cell>
          <cell r="BW3696">
            <v>12</v>
          </cell>
        </row>
        <row r="3697">
          <cell r="L3697" t="str">
            <v>WA2503ST75LG</v>
          </cell>
          <cell r="BW3697">
            <v>23</v>
          </cell>
        </row>
        <row r="3698">
          <cell r="L3698" t="str">
            <v>WA2503ST75NA</v>
          </cell>
          <cell r="BW3698">
            <v>12</v>
          </cell>
        </row>
        <row r="3699">
          <cell r="L3699" t="str">
            <v>WA2503ST75NA</v>
          </cell>
          <cell r="BW3699">
            <v>50</v>
          </cell>
        </row>
        <row r="3700">
          <cell r="L3700" t="str">
            <v>WA2503ST75WH</v>
          </cell>
          <cell r="BW3700">
            <v>17</v>
          </cell>
        </row>
        <row r="3701">
          <cell r="L3701" t="str">
            <v>WA2503ST75WH</v>
          </cell>
          <cell r="BW3701">
            <v>19</v>
          </cell>
        </row>
        <row r="3702">
          <cell r="L3702" t="str">
            <v>WA2503STE1BK</v>
          </cell>
          <cell r="BW3702">
            <v>352</v>
          </cell>
        </row>
        <row r="3703">
          <cell r="L3703" t="str">
            <v>WA2503STE1BK</v>
          </cell>
          <cell r="BW3703">
            <v>560</v>
          </cell>
        </row>
        <row r="3704">
          <cell r="L3704" t="str">
            <v>WA2503STE1BK</v>
          </cell>
          <cell r="BW3704">
            <v>653</v>
          </cell>
        </row>
        <row r="3705">
          <cell r="L3705" t="str">
            <v>WA2503STE1BK</v>
          </cell>
          <cell r="BW3705">
            <v>193</v>
          </cell>
        </row>
        <row r="3706">
          <cell r="L3706" t="str">
            <v>WA2503STE1BK</v>
          </cell>
          <cell r="BW3706">
            <v>29</v>
          </cell>
        </row>
        <row r="3707">
          <cell r="L3707" t="str">
            <v>WA2503STE1TC</v>
          </cell>
          <cell r="BW3707">
            <v>203</v>
          </cell>
        </row>
        <row r="3708">
          <cell r="L3708" t="str">
            <v>WA2503STE1TC</v>
          </cell>
          <cell r="BW3708">
            <v>701</v>
          </cell>
        </row>
        <row r="3709">
          <cell r="L3709" t="str">
            <v>WA2503STE1TC</v>
          </cell>
          <cell r="BW3709">
            <v>560</v>
          </cell>
        </row>
        <row r="3710">
          <cell r="L3710" t="str">
            <v>WA2503STE1TC</v>
          </cell>
          <cell r="BW3710">
            <v>389</v>
          </cell>
        </row>
        <row r="3711">
          <cell r="L3711" t="str">
            <v>WA2503STE1TC</v>
          </cell>
          <cell r="BW3711">
            <v>13</v>
          </cell>
        </row>
        <row r="3712">
          <cell r="L3712" t="str">
            <v>WA2503STE2TC</v>
          </cell>
          <cell r="BW3712">
            <v>51</v>
          </cell>
        </row>
        <row r="3713">
          <cell r="L3713" t="str">
            <v>WA2503STE2TC</v>
          </cell>
          <cell r="BW3713">
            <v>16</v>
          </cell>
        </row>
        <row r="3714">
          <cell r="L3714" t="str">
            <v>WA2503STE2TC</v>
          </cell>
          <cell r="BW3714">
            <v>19</v>
          </cell>
        </row>
        <row r="3715">
          <cell r="L3715" t="str">
            <v>WA2503STE3TC</v>
          </cell>
          <cell r="BW3715">
            <v>137</v>
          </cell>
        </row>
        <row r="3716">
          <cell r="L3716" t="str">
            <v>WA2503STE3TC</v>
          </cell>
          <cell r="BW3716">
            <v>306</v>
          </cell>
        </row>
        <row r="3717">
          <cell r="L3717" t="str">
            <v>WA2503STE3TC</v>
          </cell>
          <cell r="BW3717">
            <v>601</v>
          </cell>
        </row>
        <row r="3718">
          <cell r="L3718" t="str">
            <v>WA2503STE3TC</v>
          </cell>
          <cell r="BW3718">
            <v>145</v>
          </cell>
        </row>
        <row r="3719">
          <cell r="L3719" t="str">
            <v>WA2503STE3TC</v>
          </cell>
          <cell r="BW3719">
            <v>61</v>
          </cell>
        </row>
        <row r="3720">
          <cell r="L3720" t="str">
            <v>WA2503STI1WH</v>
          </cell>
          <cell r="BW3720">
            <v>0</v>
          </cell>
        </row>
        <row r="3721">
          <cell r="L3721" t="str">
            <v>WA2503STI1WH</v>
          </cell>
          <cell r="BW3721">
            <v>0</v>
          </cell>
        </row>
        <row r="3722">
          <cell r="L3722" t="str">
            <v>WA2503STI2WH</v>
          </cell>
          <cell r="BW3722">
            <v>0</v>
          </cell>
        </row>
        <row r="3723">
          <cell r="L3723" t="str">
            <v>WA2503STI2WH</v>
          </cell>
          <cell r="BW3723">
            <v>0</v>
          </cell>
        </row>
        <row r="3724">
          <cell r="L3724" t="str">
            <v>WA2503STI3WH</v>
          </cell>
          <cell r="BW3724">
            <v>0</v>
          </cell>
        </row>
        <row r="3725">
          <cell r="L3725" t="str">
            <v>WA2503STI3WH</v>
          </cell>
          <cell r="BW3725">
            <v>0</v>
          </cell>
        </row>
        <row r="3726">
          <cell r="L3726" t="str">
            <v>WA2503STI4WH</v>
          </cell>
          <cell r="BW3726">
            <v>0</v>
          </cell>
        </row>
        <row r="3727">
          <cell r="L3727" t="str">
            <v>WA2503STI4WH</v>
          </cell>
          <cell r="BW3727">
            <v>0</v>
          </cell>
        </row>
        <row r="3728">
          <cell r="L3728" t="str">
            <v>WA2503STI4WH</v>
          </cell>
          <cell r="BW3728">
            <v>0</v>
          </cell>
        </row>
        <row r="3729">
          <cell r="L3729" t="str">
            <v>WA2503STI5WH</v>
          </cell>
          <cell r="BW3729">
            <v>0</v>
          </cell>
        </row>
        <row r="3730">
          <cell r="L3730" t="str">
            <v>WA2503STI5WH</v>
          </cell>
          <cell r="BW3730">
            <v>0</v>
          </cell>
        </row>
        <row r="3731">
          <cell r="L3731" t="str">
            <v>WA2503STO1BK</v>
          </cell>
          <cell r="BW3731">
            <v>11</v>
          </cell>
        </row>
        <row r="3732">
          <cell r="L3732" t="str">
            <v>WA2503STO1BK</v>
          </cell>
          <cell r="BW3732">
            <v>2</v>
          </cell>
        </row>
        <row r="3733">
          <cell r="L3733" t="str">
            <v>WA2503STO1BK</v>
          </cell>
          <cell r="BW3733">
            <v>2</v>
          </cell>
        </row>
        <row r="3734">
          <cell r="L3734" t="str">
            <v>WA2503STO1BK</v>
          </cell>
          <cell r="BW3734">
            <v>9</v>
          </cell>
        </row>
        <row r="3735">
          <cell r="L3735" t="str">
            <v>WA2503STO1WH</v>
          </cell>
          <cell r="BW3735">
            <v>35</v>
          </cell>
        </row>
        <row r="3736">
          <cell r="L3736" t="str">
            <v>WA2503STO1WH</v>
          </cell>
          <cell r="BW3736">
            <v>27</v>
          </cell>
        </row>
        <row r="3737">
          <cell r="L3737" t="str">
            <v>WA2503STO1WH</v>
          </cell>
          <cell r="BW3737">
            <v>21</v>
          </cell>
        </row>
        <row r="3738">
          <cell r="L3738" t="str">
            <v>WA2503STO1WH</v>
          </cell>
          <cell r="BW3738">
            <v>23</v>
          </cell>
        </row>
        <row r="3739">
          <cell r="L3739" t="str">
            <v>WA2503STO2GN</v>
          </cell>
          <cell r="BW3739">
            <v>25</v>
          </cell>
        </row>
        <row r="3740">
          <cell r="L3740" t="str">
            <v>WA2503STO2GN</v>
          </cell>
          <cell r="BW3740">
            <v>11</v>
          </cell>
        </row>
        <row r="3741">
          <cell r="L3741" t="str">
            <v>WA2503STO2GN</v>
          </cell>
          <cell r="BW3741">
            <v>10</v>
          </cell>
        </row>
        <row r="3742">
          <cell r="L3742" t="str">
            <v>WA2503STO2GN</v>
          </cell>
          <cell r="BW3742">
            <v>21</v>
          </cell>
        </row>
        <row r="3743">
          <cell r="L3743" t="str">
            <v>WA2503STO2GR</v>
          </cell>
          <cell r="BW3743">
            <v>82</v>
          </cell>
        </row>
        <row r="3744">
          <cell r="L3744" t="str">
            <v>WA2503STO2GR</v>
          </cell>
          <cell r="BW3744">
            <v>54</v>
          </cell>
        </row>
        <row r="3745">
          <cell r="L3745" t="str">
            <v>WA2503STO2GR</v>
          </cell>
          <cell r="BW3745">
            <v>29</v>
          </cell>
        </row>
        <row r="3746">
          <cell r="L3746" t="str">
            <v>WA2503STO2GR</v>
          </cell>
          <cell r="BW3746">
            <v>46</v>
          </cell>
        </row>
        <row r="3747">
          <cell r="L3747" t="str">
            <v>WA2503STS1BK</v>
          </cell>
          <cell r="BW3747">
            <v>6</v>
          </cell>
        </row>
        <row r="3748">
          <cell r="L3748" t="str">
            <v>WA2503STS1BK</v>
          </cell>
          <cell r="BW3748">
            <v>3</v>
          </cell>
        </row>
        <row r="3749">
          <cell r="L3749" t="str">
            <v>WA2503STS1BK</v>
          </cell>
          <cell r="BW3749">
            <v>0</v>
          </cell>
        </row>
        <row r="3750">
          <cell r="L3750" t="str">
            <v>WA2503STS1BK</v>
          </cell>
          <cell r="BW3750">
            <v>1</v>
          </cell>
        </row>
        <row r="3751">
          <cell r="L3751" t="str">
            <v>WA2503STS1WH</v>
          </cell>
          <cell r="BW3751">
            <v>10</v>
          </cell>
        </row>
        <row r="3752">
          <cell r="L3752" t="str">
            <v>WA2503STS1WH</v>
          </cell>
          <cell r="BW3752">
            <v>11</v>
          </cell>
        </row>
        <row r="3753">
          <cell r="L3753" t="str">
            <v>WA2503STS1WH</v>
          </cell>
          <cell r="BW3753">
            <v>11</v>
          </cell>
        </row>
        <row r="3754">
          <cell r="L3754" t="str">
            <v>WA2503STS1WH</v>
          </cell>
          <cell r="BW3754">
            <v>10</v>
          </cell>
        </row>
        <row r="3755">
          <cell r="L3755" t="str">
            <v>WA2503STS1YE</v>
          </cell>
          <cell r="BW3755">
            <v>6</v>
          </cell>
        </row>
        <row r="3756">
          <cell r="L3756" t="str">
            <v>WA2503STS1YE</v>
          </cell>
          <cell r="BW3756">
            <v>11</v>
          </cell>
        </row>
        <row r="3757">
          <cell r="L3757" t="str">
            <v>WA2503STS1YE</v>
          </cell>
          <cell r="BW3757">
            <v>9</v>
          </cell>
        </row>
        <row r="3758">
          <cell r="L3758" t="str">
            <v>WA2503STS2BK</v>
          </cell>
          <cell r="BW3758">
            <v>8</v>
          </cell>
        </row>
        <row r="3759">
          <cell r="L3759" t="str">
            <v>WA2503STS2BK</v>
          </cell>
          <cell r="BW3759">
            <v>8</v>
          </cell>
        </row>
        <row r="3760">
          <cell r="L3760" t="str">
            <v>WA2503STS2BK</v>
          </cell>
          <cell r="BW3760">
            <v>3</v>
          </cell>
        </row>
        <row r="3761">
          <cell r="L3761" t="str">
            <v>WA2503STS2BK</v>
          </cell>
          <cell r="BW3761">
            <v>3</v>
          </cell>
        </row>
        <row r="3762">
          <cell r="L3762" t="str">
            <v>WA2503STS2WH</v>
          </cell>
          <cell r="BW3762">
            <v>51</v>
          </cell>
        </row>
        <row r="3763">
          <cell r="L3763" t="str">
            <v>WA2503STS2WH</v>
          </cell>
          <cell r="BW3763">
            <v>54</v>
          </cell>
        </row>
        <row r="3764">
          <cell r="L3764" t="str">
            <v>WA2503STS2WH</v>
          </cell>
          <cell r="BW3764">
            <v>42</v>
          </cell>
        </row>
        <row r="3765">
          <cell r="L3765" t="str">
            <v>WA2503STS2WH</v>
          </cell>
          <cell r="BW3765">
            <v>24</v>
          </cell>
        </row>
        <row r="3766">
          <cell r="L3766" t="str">
            <v>WA2503STS3BK</v>
          </cell>
          <cell r="BW3766">
            <v>10</v>
          </cell>
        </row>
        <row r="3767">
          <cell r="L3767" t="str">
            <v>WA2503STS3BK</v>
          </cell>
          <cell r="BW3767">
            <v>3</v>
          </cell>
        </row>
        <row r="3768">
          <cell r="L3768" t="str">
            <v>WA2503STS3BK</v>
          </cell>
          <cell r="BW3768">
            <v>6</v>
          </cell>
        </row>
        <row r="3769">
          <cell r="L3769" t="str">
            <v>WA2503STS3BK</v>
          </cell>
          <cell r="BW3769">
            <v>6</v>
          </cell>
        </row>
        <row r="3770">
          <cell r="L3770" t="str">
            <v>WA2503STS3WH</v>
          </cell>
          <cell r="BW3770">
            <v>31</v>
          </cell>
        </row>
        <row r="3771">
          <cell r="L3771" t="str">
            <v>WA2503STS3WH</v>
          </cell>
          <cell r="BW3771">
            <v>47</v>
          </cell>
        </row>
        <row r="3772">
          <cell r="L3772" t="str">
            <v>WA2503STS3WH</v>
          </cell>
          <cell r="BW3772">
            <v>27</v>
          </cell>
        </row>
        <row r="3773">
          <cell r="L3773" t="str">
            <v>WA2503STS3WH</v>
          </cell>
          <cell r="BW3773">
            <v>21</v>
          </cell>
        </row>
        <row r="3774">
          <cell r="L3774" t="str">
            <v>WA2503STT1LG</v>
          </cell>
          <cell r="BW3774">
            <v>0</v>
          </cell>
        </row>
        <row r="3775">
          <cell r="L3775" t="str">
            <v>WA2503STT1LG</v>
          </cell>
          <cell r="BW3775">
            <v>0</v>
          </cell>
        </row>
        <row r="3776">
          <cell r="L3776" t="str">
            <v>WA2503STT1LG</v>
          </cell>
          <cell r="BW3776">
            <v>0</v>
          </cell>
        </row>
        <row r="3777">
          <cell r="L3777" t="str">
            <v>WA2503STT1LG</v>
          </cell>
          <cell r="BW3777">
            <v>0</v>
          </cell>
        </row>
        <row r="3778">
          <cell r="L3778" t="str">
            <v>WA2503STT2WH</v>
          </cell>
          <cell r="BW3778">
            <v>0</v>
          </cell>
        </row>
        <row r="3779">
          <cell r="L3779" t="str">
            <v>WA2503STT2WH</v>
          </cell>
          <cell r="BW3779">
            <v>0</v>
          </cell>
        </row>
        <row r="3780">
          <cell r="L3780" t="str">
            <v>WA2503STT2WH</v>
          </cell>
          <cell r="BW3780">
            <v>0</v>
          </cell>
        </row>
        <row r="3781">
          <cell r="L3781" t="str">
            <v>WA2503STT2WH</v>
          </cell>
          <cell r="BW3781">
            <v>0</v>
          </cell>
        </row>
        <row r="3782">
          <cell r="L3782" t="str">
            <v>WA2503STT3BK</v>
          </cell>
          <cell r="BW3782">
            <v>0</v>
          </cell>
        </row>
        <row r="3783">
          <cell r="L3783" t="str">
            <v>WA2503STT3BK</v>
          </cell>
          <cell r="BW3783">
            <v>0</v>
          </cell>
        </row>
        <row r="3784">
          <cell r="L3784" t="str">
            <v>WA2503STT3BK</v>
          </cell>
          <cell r="BW3784">
            <v>0</v>
          </cell>
        </row>
        <row r="3785">
          <cell r="L3785" t="str">
            <v>WA2503STT3BK</v>
          </cell>
          <cell r="BW3785">
            <v>0</v>
          </cell>
        </row>
        <row r="3786">
          <cell r="L3786" t="str">
            <v>WA2503STT4WH</v>
          </cell>
          <cell r="BW3786">
            <v>0</v>
          </cell>
        </row>
        <row r="3787">
          <cell r="L3787" t="str">
            <v>WA2503STT4WH</v>
          </cell>
          <cell r="BW3787">
            <v>0</v>
          </cell>
        </row>
        <row r="3788">
          <cell r="L3788" t="str">
            <v>WA2503STT4WH</v>
          </cell>
          <cell r="BW3788">
            <v>0</v>
          </cell>
        </row>
        <row r="3789">
          <cell r="L3789" t="str">
            <v>WA2503STT4WH</v>
          </cell>
          <cell r="BW3789">
            <v>0</v>
          </cell>
        </row>
        <row r="3790">
          <cell r="L3790" t="str">
            <v>WA2503STT5WH</v>
          </cell>
          <cell r="BW3790">
            <v>0</v>
          </cell>
        </row>
        <row r="3791">
          <cell r="L3791" t="str">
            <v>WA2503STT5WH</v>
          </cell>
          <cell r="BW3791">
            <v>0</v>
          </cell>
        </row>
        <row r="3792">
          <cell r="L3792" t="str">
            <v>WA2503STT5WH</v>
          </cell>
          <cell r="BW3792">
            <v>0</v>
          </cell>
        </row>
        <row r="3793">
          <cell r="L3793" t="str">
            <v>WA2503STT5WH</v>
          </cell>
          <cell r="BW3793">
            <v>0</v>
          </cell>
        </row>
        <row r="3794">
          <cell r="L3794" t="str">
            <v>WA2503STT6BK</v>
          </cell>
          <cell r="BW3794">
            <v>0</v>
          </cell>
        </row>
        <row r="3795">
          <cell r="L3795" t="str">
            <v>WA2503STT6BK</v>
          </cell>
          <cell r="BW3795">
            <v>0</v>
          </cell>
        </row>
        <row r="3796">
          <cell r="L3796" t="str">
            <v>WA2503STT6BK</v>
          </cell>
          <cell r="BW3796">
            <v>0</v>
          </cell>
        </row>
        <row r="3797">
          <cell r="L3797" t="str">
            <v>WA2503STT6BK</v>
          </cell>
          <cell r="BW3797">
            <v>0</v>
          </cell>
        </row>
        <row r="3798">
          <cell r="L3798" t="str">
            <v>WA2503STT7BK</v>
          </cell>
          <cell r="BW3798">
            <v>0</v>
          </cell>
        </row>
        <row r="3799">
          <cell r="L3799" t="str">
            <v>WA2503STT7BK</v>
          </cell>
          <cell r="BW3799">
            <v>0</v>
          </cell>
        </row>
        <row r="3800">
          <cell r="L3800" t="str">
            <v>WA2503STT7BK</v>
          </cell>
          <cell r="BW3800">
            <v>0</v>
          </cell>
        </row>
        <row r="3801">
          <cell r="L3801" t="str">
            <v>WA2503STT7BK</v>
          </cell>
          <cell r="BW3801">
            <v>0</v>
          </cell>
        </row>
        <row r="3802">
          <cell r="L3802" t="str">
            <v>WA2503STT7WH</v>
          </cell>
          <cell r="BW3802">
            <v>0</v>
          </cell>
        </row>
        <row r="3803">
          <cell r="L3803" t="str">
            <v>WA2503STT7WH</v>
          </cell>
          <cell r="BW3803">
            <v>0</v>
          </cell>
        </row>
        <row r="3804">
          <cell r="L3804" t="str">
            <v>WA2503STT7WH</v>
          </cell>
          <cell r="BW3804">
            <v>0</v>
          </cell>
        </row>
        <row r="3805">
          <cell r="L3805" t="str">
            <v>WA2503STT7WH</v>
          </cell>
          <cell r="BW3805">
            <v>0</v>
          </cell>
        </row>
        <row r="3806">
          <cell r="L3806" t="str">
            <v>WA2503TC01BK</v>
          </cell>
          <cell r="BW3806">
            <v>546</v>
          </cell>
        </row>
        <row r="3807">
          <cell r="L3807" t="str">
            <v>WA2503TC01BR</v>
          </cell>
          <cell r="BW3807">
            <v>538</v>
          </cell>
        </row>
        <row r="3808">
          <cell r="L3808" t="str">
            <v>WA2503TC01RD</v>
          </cell>
          <cell r="BW3808">
            <v>371</v>
          </cell>
        </row>
        <row r="3809">
          <cell r="L3809" t="str">
            <v>WA2503TC01WH</v>
          </cell>
          <cell r="BW3809">
            <v>196</v>
          </cell>
        </row>
        <row r="3810">
          <cell r="L3810" t="str">
            <v>WA2503TC02BL</v>
          </cell>
          <cell r="BW3810">
            <v>439</v>
          </cell>
        </row>
        <row r="3811">
          <cell r="L3811" t="str">
            <v>WA2503TC02PI</v>
          </cell>
          <cell r="BW3811">
            <v>440</v>
          </cell>
        </row>
        <row r="3812">
          <cell r="L3812" t="str">
            <v>WA2503TC03BK</v>
          </cell>
          <cell r="BW3812">
            <v>273</v>
          </cell>
        </row>
        <row r="3813">
          <cell r="L3813" t="str">
            <v>WA2503TC03BR</v>
          </cell>
          <cell r="BW3813">
            <v>191</v>
          </cell>
        </row>
        <row r="3814">
          <cell r="L3814" t="str">
            <v>WA2503TC04BK</v>
          </cell>
          <cell r="BW3814">
            <v>761</v>
          </cell>
        </row>
        <row r="3815">
          <cell r="L3815" t="str">
            <v>WA2503TC04BR</v>
          </cell>
          <cell r="BW3815">
            <v>459</v>
          </cell>
        </row>
        <row r="3816">
          <cell r="L3816" t="str">
            <v>WA2503TC04PI</v>
          </cell>
          <cell r="BW3816">
            <v>459</v>
          </cell>
        </row>
        <row r="3817">
          <cell r="L3817" t="str">
            <v>WA2503TC04SV</v>
          </cell>
          <cell r="BW3817">
            <v>688</v>
          </cell>
        </row>
        <row r="3818">
          <cell r="L3818" t="str">
            <v>WA2503TC05TC</v>
          </cell>
          <cell r="BW3818">
            <v>1943</v>
          </cell>
        </row>
        <row r="3819">
          <cell r="L3819" t="str">
            <v>WA2503TC06BK</v>
          </cell>
          <cell r="BW3819">
            <v>611</v>
          </cell>
        </row>
        <row r="3820">
          <cell r="L3820" t="str">
            <v>WA2503TC06GR</v>
          </cell>
          <cell r="BW3820">
            <v>168</v>
          </cell>
        </row>
        <row r="3821">
          <cell r="L3821" t="str">
            <v>WA2503TC06IV</v>
          </cell>
          <cell r="BW3821">
            <v>599</v>
          </cell>
        </row>
        <row r="3822">
          <cell r="L3822" t="str">
            <v>WA2503TC06PI</v>
          </cell>
          <cell r="BW3822">
            <v>686</v>
          </cell>
        </row>
        <row r="3823">
          <cell r="L3823" t="str">
            <v>WA2503TC07BK</v>
          </cell>
          <cell r="BW3823">
            <v>392</v>
          </cell>
        </row>
        <row r="3824">
          <cell r="L3824" t="str">
            <v>WA2503TC07BR</v>
          </cell>
          <cell r="BW3824">
            <v>408</v>
          </cell>
        </row>
        <row r="3825">
          <cell r="L3825" t="str">
            <v>WA2503TC08CM</v>
          </cell>
          <cell r="BW3825">
            <v>699</v>
          </cell>
        </row>
        <row r="3826">
          <cell r="L3826" t="str">
            <v>WA2503TC08GR</v>
          </cell>
          <cell r="BW3826">
            <v>944</v>
          </cell>
        </row>
        <row r="3827">
          <cell r="L3827" t="str">
            <v>WA2503TC09BK</v>
          </cell>
          <cell r="BW3827">
            <v>125</v>
          </cell>
        </row>
        <row r="3828">
          <cell r="L3828" t="str">
            <v>WA2503TC09BR</v>
          </cell>
          <cell r="BW3828">
            <v>483</v>
          </cell>
        </row>
        <row r="3829">
          <cell r="L3829" t="str">
            <v>WA2503TC09IV</v>
          </cell>
          <cell r="BW3829">
            <v>570</v>
          </cell>
        </row>
        <row r="3830">
          <cell r="L3830" t="str">
            <v>WA2503TC10WH</v>
          </cell>
          <cell r="BW3830">
            <v>78</v>
          </cell>
        </row>
        <row r="3831">
          <cell r="L3831" t="str">
            <v>WA2503TC10WH</v>
          </cell>
          <cell r="BW3831">
            <v>179</v>
          </cell>
        </row>
        <row r="3832">
          <cell r="L3832" t="str">
            <v>WA2503TC11BK</v>
          </cell>
          <cell r="BW3832">
            <v>183</v>
          </cell>
        </row>
        <row r="3833">
          <cell r="L3833" t="str">
            <v>WA2503TC11YE</v>
          </cell>
          <cell r="BW3833">
            <v>1059</v>
          </cell>
        </row>
        <row r="3834">
          <cell r="L3834" t="str">
            <v>WA2503TC12BK</v>
          </cell>
          <cell r="BW3834">
            <v>165</v>
          </cell>
        </row>
        <row r="3835">
          <cell r="L3835" t="str">
            <v>WA2503TC12YE</v>
          </cell>
          <cell r="BW3835">
            <v>192</v>
          </cell>
        </row>
        <row r="3836">
          <cell r="L3836" t="str">
            <v>WA2503TC13BL</v>
          </cell>
          <cell r="BW3836">
            <v>862</v>
          </cell>
        </row>
        <row r="3837">
          <cell r="L3837" t="str">
            <v>WA2503TC13YE</v>
          </cell>
          <cell r="BW3837">
            <v>712</v>
          </cell>
        </row>
        <row r="3838">
          <cell r="L3838" t="str">
            <v>WA2503TC14BK</v>
          </cell>
          <cell r="BW3838">
            <v>68</v>
          </cell>
        </row>
        <row r="3839">
          <cell r="L3839" t="str">
            <v>WA2503TC14BL</v>
          </cell>
          <cell r="BW3839">
            <v>464</v>
          </cell>
        </row>
        <row r="3840">
          <cell r="L3840" t="str">
            <v>WA2503TC14PI</v>
          </cell>
          <cell r="BW3840">
            <v>90</v>
          </cell>
        </row>
        <row r="3841">
          <cell r="L3841" t="str">
            <v>WA2503TC15TC</v>
          </cell>
          <cell r="BW3841">
            <v>1224</v>
          </cell>
        </row>
        <row r="3842">
          <cell r="L3842" t="str">
            <v>WA2503TC16WH</v>
          </cell>
          <cell r="BW3842">
            <v>1101</v>
          </cell>
        </row>
        <row r="3843">
          <cell r="L3843" t="str">
            <v>WA2503TC16WH</v>
          </cell>
          <cell r="BW3843">
            <v>3440</v>
          </cell>
        </row>
        <row r="3844">
          <cell r="L3844" t="str">
            <v>WA2503TC17WH</v>
          </cell>
          <cell r="BW3844">
            <v>3371</v>
          </cell>
        </row>
        <row r="3845">
          <cell r="L3845" t="str">
            <v>WA2503TCI1WH</v>
          </cell>
          <cell r="BW3845">
            <v>0</v>
          </cell>
        </row>
        <row r="3846">
          <cell r="L3846" t="str">
            <v>WA2504CD62CM</v>
          </cell>
          <cell r="BW3846">
            <v>235</v>
          </cell>
        </row>
        <row r="3847">
          <cell r="L3847" t="str">
            <v>WA2504CD62GR</v>
          </cell>
          <cell r="BW3847">
            <v>263</v>
          </cell>
        </row>
        <row r="3848">
          <cell r="L3848" t="str">
            <v>WA2504CD63CM</v>
          </cell>
          <cell r="BW3848">
            <v>23</v>
          </cell>
        </row>
        <row r="3849">
          <cell r="L3849" t="str">
            <v>WA2504CD63DN</v>
          </cell>
          <cell r="BW3849">
            <v>296</v>
          </cell>
        </row>
        <row r="3850">
          <cell r="L3850" t="str">
            <v>WA2504CR01BK</v>
          </cell>
          <cell r="BW3850">
            <v>147</v>
          </cell>
        </row>
        <row r="3851">
          <cell r="L3851" t="str">
            <v>WA2504CR01BK</v>
          </cell>
          <cell r="BW3851">
            <v>216</v>
          </cell>
        </row>
        <row r="3852">
          <cell r="L3852" t="str">
            <v>WA2504CR01BK</v>
          </cell>
          <cell r="BW3852">
            <v>318</v>
          </cell>
        </row>
        <row r="3853">
          <cell r="L3853" t="str">
            <v>WA2504CR01BK</v>
          </cell>
          <cell r="BW3853">
            <v>62</v>
          </cell>
        </row>
        <row r="3854">
          <cell r="L3854" t="str">
            <v>WA2504CR01BK</v>
          </cell>
          <cell r="BW3854">
            <v>57</v>
          </cell>
        </row>
        <row r="3855">
          <cell r="L3855" t="str">
            <v>WA2504CR01CM</v>
          </cell>
          <cell r="BW3855">
            <v>130</v>
          </cell>
        </row>
        <row r="3856">
          <cell r="L3856" t="str">
            <v>WA2504CR01CM</v>
          </cell>
          <cell r="BW3856">
            <v>193</v>
          </cell>
        </row>
        <row r="3857">
          <cell r="L3857" t="str">
            <v>WA2504CR01CM</v>
          </cell>
          <cell r="BW3857">
            <v>238</v>
          </cell>
        </row>
        <row r="3858">
          <cell r="L3858" t="str">
            <v>WA2504CR01CM</v>
          </cell>
          <cell r="BW3858">
            <v>73</v>
          </cell>
        </row>
        <row r="3859">
          <cell r="L3859" t="str">
            <v>WA2504CR01GN</v>
          </cell>
          <cell r="BW3859">
            <v>94</v>
          </cell>
        </row>
        <row r="3860">
          <cell r="L3860" t="str">
            <v>WA2504CR01GN</v>
          </cell>
          <cell r="BW3860">
            <v>124</v>
          </cell>
        </row>
        <row r="3861">
          <cell r="L3861" t="str">
            <v>WA2504CR01GN</v>
          </cell>
          <cell r="BW3861">
            <v>172</v>
          </cell>
        </row>
        <row r="3862">
          <cell r="L3862" t="str">
            <v>WA2504CR01GN</v>
          </cell>
          <cell r="BW3862">
            <v>46</v>
          </cell>
        </row>
        <row r="3863">
          <cell r="L3863" t="str">
            <v>WA2504CR01GR</v>
          </cell>
          <cell r="BW3863">
            <v>377</v>
          </cell>
        </row>
        <row r="3864">
          <cell r="L3864" t="str">
            <v>WA2504CR01GR</v>
          </cell>
          <cell r="BW3864">
            <v>347</v>
          </cell>
        </row>
        <row r="3865">
          <cell r="L3865" t="str">
            <v>WA2504CR01GR</v>
          </cell>
          <cell r="BW3865">
            <v>236</v>
          </cell>
        </row>
        <row r="3866">
          <cell r="L3866" t="str">
            <v>WA2504CR01GR</v>
          </cell>
          <cell r="BW3866">
            <v>331</v>
          </cell>
        </row>
        <row r="3867">
          <cell r="L3867" t="str">
            <v>WA2504CR01GR</v>
          </cell>
          <cell r="BW3867">
            <v>66</v>
          </cell>
        </row>
        <row r="3868">
          <cell r="L3868" t="str">
            <v>WA2504CR11GN</v>
          </cell>
          <cell r="BW3868">
            <v>67</v>
          </cell>
        </row>
        <row r="3869">
          <cell r="L3869" t="str">
            <v>WA2504CR11GN</v>
          </cell>
          <cell r="BW3869">
            <v>104</v>
          </cell>
        </row>
        <row r="3870">
          <cell r="L3870" t="str">
            <v>WA2504CR11GN</v>
          </cell>
          <cell r="BW3870">
            <v>129</v>
          </cell>
        </row>
        <row r="3871">
          <cell r="L3871" t="str">
            <v>WA2504CR11GN</v>
          </cell>
          <cell r="BW3871">
            <v>43</v>
          </cell>
        </row>
        <row r="3872">
          <cell r="L3872" t="str">
            <v>WA2504CR11LG</v>
          </cell>
          <cell r="BW3872">
            <v>268</v>
          </cell>
        </row>
        <row r="3873">
          <cell r="L3873" t="str">
            <v>WA2504CR11LG</v>
          </cell>
          <cell r="BW3873">
            <v>239</v>
          </cell>
        </row>
        <row r="3874">
          <cell r="L3874" t="str">
            <v>WA2504CR11LG</v>
          </cell>
          <cell r="BW3874">
            <v>284</v>
          </cell>
        </row>
        <row r="3875">
          <cell r="L3875" t="str">
            <v>WA2504CR11LG</v>
          </cell>
          <cell r="BW3875">
            <v>202</v>
          </cell>
        </row>
        <row r="3876">
          <cell r="L3876" t="str">
            <v>WA2504CR11NA</v>
          </cell>
          <cell r="BW3876">
            <v>129</v>
          </cell>
        </row>
        <row r="3877">
          <cell r="L3877" t="str">
            <v>WA2504CR11NA</v>
          </cell>
          <cell r="BW3877">
            <v>147</v>
          </cell>
        </row>
        <row r="3878">
          <cell r="L3878" t="str">
            <v>WA2504CR11NA</v>
          </cell>
          <cell r="BW3878">
            <v>161</v>
          </cell>
        </row>
        <row r="3879">
          <cell r="L3879" t="str">
            <v>WA2504CR11NA</v>
          </cell>
          <cell r="BW3879">
            <v>99</v>
          </cell>
        </row>
        <row r="3880">
          <cell r="L3880" t="str">
            <v>WA2504CR12BK</v>
          </cell>
          <cell r="BW3880">
            <v>81</v>
          </cell>
        </row>
        <row r="3881">
          <cell r="L3881" t="str">
            <v>WA2504CR12BK</v>
          </cell>
          <cell r="BW3881">
            <v>96</v>
          </cell>
        </row>
        <row r="3882">
          <cell r="L3882" t="str">
            <v>WA2504CR12BK</v>
          </cell>
          <cell r="BW3882">
            <v>119</v>
          </cell>
        </row>
        <row r="3883">
          <cell r="L3883" t="str">
            <v>WA2504CR12BK</v>
          </cell>
          <cell r="BW3883">
            <v>36</v>
          </cell>
        </row>
        <row r="3884">
          <cell r="L3884" t="str">
            <v>WA2504CR12GR</v>
          </cell>
          <cell r="BW3884">
            <v>154</v>
          </cell>
        </row>
        <row r="3885">
          <cell r="L3885" t="str">
            <v>WA2504CR12GR</v>
          </cell>
          <cell r="BW3885">
            <v>143</v>
          </cell>
        </row>
        <row r="3886">
          <cell r="L3886" t="str">
            <v>WA2504CR12GR</v>
          </cell>
          <cell r="BW3886">
            <v>157</v>
          </cell>
        </row>
        <row r="3887">
          <cell r="L3887" t="str">
            <v>WA2504CR12GR</v>
          </cell>
          <cell r="BW3887">
            <v>116</v>
          </cell>
        </row>
        <row r="3888">
          <cell r="L3888" t="str">
            <v>WA2504CR68GR</v>
          </cell>
          <cell r="BW3888">
            <v>285</v>
          </cell>
        </row>
        <row r="3889">
          <cell r="L3889" t="str">
            <v>WA2504CR68SB</v>
          </cell>
          <cell r="BW3889">
            <v>200</v>
          </cell>
        </row>
        <row r="3890">
          <cell r="L3890" t="str">
            <v>WA2504CR69BR</v>
          </cell>
          <cell r="BW3890">
            <v>78</v>
          </cell>
        </row>
        <row r="3891">
          <cell r="L3891" t="str">
            <v>WA2504CR69CM</v>
          </cell>
          <cell r="BW3891">
            <v>110</v>
          </cell>
        </row>
        <row r="3892">
          <cell r="L3892" t="str">
            <v>WA2504DP01BK</v>
          </cell>
          <cell r="BW3892">
            <v>1604</v>
          </cell>
        </row>
        <row r="3893">
          <cell r="L3893" t="str">
            <v>WA2504DP01BK</v>
          </cell>
          <cell r="BW3893">
            <v>2131</v>
          </cell>
        </row>
        <row r="3894">
          <cell r="L3894" t="str">
            <v>WA2504DP01BK</v>
          </cell>
          <cell r="BW3894">
            <v>2286</v>
          </cell>
        </row>
        <row r="3895">
          <cell r="L3895" t="str">
            <v>WA2504DP01BK</v>
          </cell>
          <cell r="BW3895">
            <v>1081</v>
          </cell>
        </row>
        <row r="3896">
          <cell r="L3896" t="str">
            <v>WA2504DP01BR</v>
          </cell>
          <cell r="BW3896">
            <v>36</v>
          </cell>
        </row>
        <row r="3897">
          <cell r="L3897" t="str">
            <v>WA2504DP01BR</v>
          </cell>
          <cell r="BW3897">
            <v>35</v>
          </cell>
        </row>
        <row r="3898">
          <cell r="L3898" t="str">
            <v>WA2504DP01BR</v>
          </cell>
          <cell r="BW3898">
            <v>47</v>
          </cell>
        </row>
        <row r="3899">
          <cell r="L3899" t="str">
            <v>WA2504DP01BR</v>
          </cell>
          <cell r="BW3899">
            <v>27</v>
          </cell>
        </row>
        <row r="3900">
          <cell r="L3900" t="str">
            <v>WA2504DP01CM</v>
          </cell>
          <cell r="BW3900">
            <v>803</v>
          </cell>
        </row>
        <row r="3901">
          <cell r="L3901" t="str">
            <v>WA2504DP01CM</v>
          </cell>
          <cell r="BW3901">
            <v>972</v>
          </cell>
        </row>
        <row r="3902">
          <cell r="L3902" t="str">
            <v>WA2504DP01CM</v>
          </cell>
          <cell r="BW3902">
            <v>935</v>
          </cell>
        </row>
        <row r="3903">
          <cell r="L3903" t="str">
            <v>WA2504DP01CM</v>
          </cell>
          <cell r="BW3903">
            <v>559</v>
          </cell>
        </row>
        <row r="3904">
          <cell r="L3904" t="str">
            <v>WA2504DP01GR</v>
          </cell>
          <cell r="BW3904">
            <v>720</v>
          </cell>
        </row>
        <row r="3905">
          <cell r="L3905" t="str">
            <v>WA2504DP01GR</v>
          </cell>
          <cell r="BW3905">
            <v>1033</v>
          </cell>
        </row>
        <row r="3906">
          <cell r="L3906" t="str">
            <v>WA2504DP01GR</v>
          </cell>
          <cell r="BW3906">
            <v>1109</v>
          </cell>
        </row>
        <row r="3907">
          <cell r="L3907" t="str">
            <v>WA2504DP01GR</v>
          </cell>
          <cell r="BW3907">
            <v>508</v>
          </cell>
        </row>
        <row r="3908">
          <cell r="L3908" t="str">
            <v>WA2504DP01NA</v>
          </cell>
          <cell r="BW3908">
            <v>90</v>
          </cell>
        </row>
        <row r="3909">
          <cell r="L3909" t="str">
            <v>WA2504DP01NA</v>
          </cell>
          <cell r="BW3909">
            <v>122</v>
          </cell>
        </row>
        <row r="3910">
          <cell r="L3910" t="str">
            <v>WA2504DP01NA</v>
          </cell>
          <cell r="BW3910">
            <v>127</v>
          </cell>
        </row>
        <row r="3911">
          <cell r="L3911" t="str">
            <v>WA2504DP01NA</v>
          </cell>
          <cell r="BW3911">
            <v>61</v>
          </cell>
        </row>
        <row r="3912">
          <cell r="L3912" t="str">
            <v>WA2504DP02DG</v>
          </cell>
          <cell r="BW3912">
            <v>138</v>
          </cell>
        </row>
        <row r="3913">
          <cell r="L3913" t="str">
            <v>WA2504DP02DG</v>
          </cell>
          <cell r="BW3913">
            <v>230</v>
          </cell>
        </row>
        <row r="3914">
          <cell r="L3914" t="str">
            <v>WA2504DP02DG</v>
          </cell>
          <cell r="BW3914">
            <v>260</v>
          </cell>
        </row>
        <row r="3915">
          <cell r="L3915" t="str">
            <v>WA2504DP02DG</v>
          </cell>
          <cell r="BW3915">
            <v>103</v>
          </cell>
        </row>
        <row r="3916">
          <cell r="L3916" t="str">
            <v>WA2504DP02DN</v>
          </cell>
          <cell r="BW3916">
            <v>288</v>
          </cell>
        </row>
        <row r="3917">
          <cell r="L3917" t="str">
            <v>WA2504DP02DN</v>
          </cell>
          <cell r="BW3917">
            <v>392</v>
          </cell>
        </row>
        <row r="3918">
          <cell r="L3918" t="str">
            <v>WA2504DP02DN</v>
          </cell>
          <cell r="BW3918">
            <v>395</v>
          </cell>
        </row>
        <row r="3919">
          <cell r="L3919" t="str">
            <v>WA2504DP02DN</v>
          </cell>
          <cell r="BW3919">
            <v>191</v>
          </cell>
        </row>
        <row r="3920">
          <cell r="L3920" t="str">
            <v>WA2504DP03BK</v>
          </cell>
          <cell r="BW3920">
            <v>287</v>
          </cell>
        </row>
        <row r="3921">
          <cell r="L3921" t="str">
            <v>WA2504DP03BK</v>
          </cell>
          <cell r="BW3921">
            <v>436</v>
          </cell>
        </row>
        <row r="3922">
          <cell r="L3922" t="str">
            <v>WA2504DP03BK</v>
          </cell>
          <cell r="BW3922">
            <v>485</v>
          </cell>
        </row>
        <row r="3923">
          <cell r="L3923" t="str">
            <v>WA2504DP03BK</v>
          </cell>
          <cell r="BW3923">
            <v>221</v>
          </cell>
        </row>
        <row r="3924">
          <cell r="L3924" t="str">
            <v>WA2504DP03CM</v>
          </cell>
          <cell r="BW3924">
            <v>95</v>
          </cell>
        </row>
        <row r="3925">
          <cell r="L3925" t="str">
            <v>WA2504DP03CM</v>
          </cell>
          <cell r="BW3925">
            <v>113</v>
          </cell>
        </row>
        <row r="3926">
          <cell r="L3926" t="str">
            <v>WA2504DP03CM</v>
          </cell>
          <cell r="BW3926">
            <v>120</v>
          </cell>
        </row>
        <row r="3927">
          <cell r="L3927" t="str">
            <v>WA2504DP03CM</v>
          </cell>
          <cell r="BW3927">
            <v>70</v>
          </cell>
        </row>
        <row r="3928">
          <cell r="L3928" t="str">
            <v>WA2504DP03GR</v>
          </cell>
          <cell r="BW3928">
            <v>190</v>
          </cell>
        </row>
        <row r="3929">
          <cell r="L3929" t="str">
            <v>WA2504DP03GR</v>
          </cell>
          <cell r="BW3929">
            <v>252</v>
          </cell>
        </row>
        <row r="3930">
          <cell r="L3930" t="str">
            <v>WA2504DP03GR</v>
          </cell>
          <cell r="BW3930">
            <v>259</v>
          </cell>
        </row>
        <row r="3931">
          <cell r="L3931" t="str">
            <v>WA2504DP03GR</v>
          </cell>
          <cell r="BW3931">
            <v>138</v>
          </cell>
        </row>
        <row r="3932">
          <cell r="L3932" t="str">
            <v>WA2504DP04BK</v>
          </cell>
          <cell r="BW3932">
            <v>336</v>
          </cell>
        </row>
        <row r="3933">
          <cell r="L3933" t="str">
            <v>WA2504DP04BK</v>
          </cell>
          <cell r="BW3933">
            <v>831</v>
          </cell>
        </row>
        <row r="3934">
          <cell r="L3934" t="str">
            <v>WA2504DP04BK</v>
          </cell>
          <cell r="BW3934">
            <v>1174</v>
          </cell>
        </row>
        <row r="3935">
          <cell r="L3935" t="str">
            <v>WA2504DP04BK</v>
          </cell>
          <cell r="BW3935">
            <v>165</v>
          </cell>
        </row>
        <row r="3936">
          <cell r="L3936" t="str">
            <v>WA2504DP04BK</v>
          </cell>
          <cell r="BW3936">
            <v>91</v>
          </cell>
        </row>
        <row r="3937">
          <cell r="L3937" t="str">
            <v>WA2504DP04GR</v>
          </cell>
          <cell r="BW3937">
            <v>92</v>
          </cell>
        </row>
        <row r="3938">
          <cell r="L3938" t="str">
            <v>WA2504DP04GR</v>
          </cell>
          <cell r="BW3938">
            <v>201</v>
          </cell>
        </row>
        <row r="3939">
          <cell r="L3939" t="str">
            <v>WA2504DP04GR</v>
          </cell>
          <cell r="BW3939">
            <v>252</v>
          </cell>
        </row>
        <row r="3940">
          <cell r="L3940" t="str">
            <v>WA2504DP04GR</v>
          </cell>
          <cell r="BW3940">
            <v>56</v>
          </cell>
        </row>
        <row r="3941">
          <cell r="L3941" t="str">
            <v>WA2504DP04GR</v>
          </cell>
          <cell r="BW3941">
            <v>35</v>
          </cell>
        </row>
        <row r="3942">
          <cell r="L3942" t="str">
            <v>WA2504DP04IV</v>
          </cell>
          <cell r="BW3942">
            <v>178</v>
          </cell>
        </row>
        <row r="3943">
          <cell r="L3943" t="str">
            <v>WA2504DP04IV</v>
          </cell>
          <cell r="BW3943">
            <v>372</v>
          </cell>
        </row>
        <row r="3944">
          <cell r="L3944" t="str">
            <v>WA2504DP04IV</v>
          </cell>
          <cell r="BW3944">
            <v>458</v>
          </cell>
        </row>
        <row r="3945">
          <cell r="L3945" t="str">
            <v>WA2504DP04IV</v>
          </cell>
          <cell r="BW3945">
            <v>114</v>
          </cell>
        </row>
        <row r="3946">
          <cell r="L3946" t="str">
            <v>WA2504DP04IV</v>
          </cell>
          <cell r="BW3946">
            <v>53</v>
          </cell>
        </row>
        <row r="3947">
          <cell r="L3947" t="str">
            <v>WA2504DP05BK</v>
          </cell>
          <cell r="BW3947">
            <v>408</v>
          </cell>
        </row>
        <row r="3948">
          <cell r="L3948" t="str">
            <v>WA2504DP05BK</v>
          </cell>
          <cell r="BW3948">
            <v>605</v>
          </cell>
        </row>
        <row r="3949">
          <cell r="L3949" t="str">
            <v>WA2504DP05BK</v>
          </cell>
          <cell r="BW3949">
            <v>643</v>
          </cell>
        </row>
        <row r="3950">
          <cell r="L3950" t="str">
            <v>WA2504DP05BK</v>
          </cell>
          <cell r="BW3950">
            <v>282</v>
          </cell>
        </row>
        <row r="3951">
          <cell r="L3951" t="str">
            <v>WA2504DP05MI</v>
          </cell>
          <cell r="BW3951">
            <v>107</v>
          </cell>
        </row>
        <row r="3952">
          <cell r="L3952" t="str">
            <v>WA2504DP05MI</v>
          </cell>
          <cell r="BW3952">
            <v>113</v>
          </cell>
        </row>
        <row r="3953">
          <cell r="L3953" t="str">
            <v>WA2504DP05MI</v>
          </cell>
          <cell r="BW3953">
            <v>98</v>
          </cell>
        </row>
        <row r="3954">
          <cell r="L3954" t="str">
            <v>WA2504DP05MI</v>
          </cell>
          <cell r="BW3954">
            <v>85</v>
          </cell>
        </row>
        <row r="3955">
          <cell r="L3955" t="str">
            <v>WA2504DP05NA</v>
          </cell>
          <cell r="BW3955">
            <v>292</v>
          </cell>
        </row>
        <row r="3956">
          <cell r="L3956" t="str">
            <v>WA2504DP05NA</v>
          </cell>
          <cell r="BW3956">
            <v>404</v>
          </cell>
        </row>
        <row r="3957">
          <cell r="L3957" t="str">
            <v>WA2504DP05NA</v>
          </cell>
          <cell r="BW3957">
            <v>422</v>
          </cell>
        </row>
        <row r="3958">
          <cell r="L3958" t="str">
            <v>WA2504DP05NA</v>
          </cell>
          <cell r="BW3958">
            <v>205</v>
          </cell>
        </row>
        <row r="3959">
          <cell r="L3959" t="str">
            <v>WA2504DP11WH</v>
          </cell>
          <cell r="BW3959">
            <v>76</v>
          </cell>
        </row>
        <row r="3960">
          <cell r="L3960" t="str">
            <v>WA2504DP11WH</v>
          </cell>
          <cell r="BW3960">
            <v>103</v>
          </cell>
        </row>
        <row r="3961">
          <cell r="L3961" t="str">
            <v>WA2504DP11WH</v>
          </cell>
          <cell r="BW3961">
            <v>144</v>
          </cell>
        </row>
        <row r="3962">
          <cell r="L3962" t="str">
            <v>WA2504DP11WH</v>
          </cell>
          <cell r="BW3962">
            <v>57</v>
          </cell>
        </row>
        <row r="3963">
          <cell r="L3963" t="str">
            <v>WA2504DP12BK</v>
          </cell>
          <cell r="BW3963">
            <v>82</v>
          </cell>
        </row>
        <row r="3964">
          <cell r="L3964" t="str">
            <v>WA2504DP12BK</v>
          </cell>
          <cell r="BW3964">
            <v>132</v>
          </cell>
        </row>
        <row r="3965">
          <cell r="L3965" t="str">
            <v>WA2504DP12BK</v>
          </cell>
          <cell r="BW3965">
            <v>164</v>
          </cell>
        </row>
        <row r="3966">
          <cell r="L3966" t="str">
            <v>WA2504DP12BK</v>
          </cell>
          <cell r="BW3966">
            <v>52</v>
          </cell>
        </row>
        <row r="3967">
          <cell r="L3967" t="str">
            <v>WA2504DP12CM</v>
          </cell>
          <cell r="BW3967">
            <v>92</v>
          </cell>
        </row>
        <row r="3968">
          <cell r="L3968" t="str">
            <v>WA2504DP12CM</v>
          </cell>
          <cell r="BW3968">
            <v>121</v>
          </cell>
        </row>
        <row r="3969">
          <cell r="L3969" t="str">
            <v>WA2504DP12CM</v>
          </cell>
          <cell r="BW3969">
            <v>135</v>
          </cell>
        </row>
        <row r="3970">
          <cell r="L3970" t="str">
            <v>WA2504DP12CM</v>
          </cell>
          <cell r="BW3970">
            <v>70</v>
          </cell>
        </row>
        <row r="3971">
          <cell r="L3971" t="str">
            <v>WA2504DP13BE</v>
          </cell>
          <cell r="BW3971">
            <v>80</v>
          </cell>
        </row>
        <row r="3972">
          <cell r="L3972" t="str">
            <v>WA2504DP13BE</v>
          </cell>
          <cell r="BW3972">
            <v>80</v>
          </cell>
        </row>
        <row r="3973">
          <cell r="L3973" t="str">
            <v>WA2504DP13BE</v>
          </cell>
          <cell r="BW3973">
            <v>52</v>
          </cell>
        </row>
        <row r="3974">
          <cell r="L3974" t="str">
            <v>WA2504DP13BE</v>
          </cell>
          <cell r="BW3974">
            <v>70</v>
          </cell>
        </row>
        <row r="3975">
          <cell r="L3975" t="str">
            <v>WA2504DP13DN</v>
          </cell>
          <cell r="BW3975">
            <v>53</v>
          </cell>
        </row>
        <row r="3976">
          <cell r="L3976" t="str">
            <v>WA2504DP13DN</v>
          </cell>
          <cell r="BW3976">
            <v>58</v>
          </cell>
        </row>
        <row r="3977">
          <cell r="L3977" t="str">
            <v>WA2504DP13DN</v>
          </cell>
          <cell r="BW3977">
            <v>40</v>
          </cell>
        </row>
        <row r="3978">
          <cell r="L3978" t="str">
            <v>WA2504DP13DN</v>
          </cell>
          <cell r="BW3978">
            <v>53</v>
          </cell>
        </row>
        <row r="3979">
          <cell r="L3979" t="str">
            <v>WA2504DP14BK</v>
          </cell>
          <cell r="BW3979">
            <v>67</v>
          </cell>
        </row>
        <row r="3980">
          <cell r="L3980" t="str">
            <v>WA2504DP14BK</v>
          </cell>
          <cell r="BW3980">
            <v>115</v>
          </cell>
        </row>
        <row r="3981">
          <cell r="L3981" t="str">
            <v>WA2504DP14BK</v>
          </cell>
          <cell r="BW3981">
            <v>103</v>
          </cell>
        </row>
        <row r="3982">
          <cell r="L3982" t="str">
            <v>WA2504DP14BK</v>
          </cell>
          <cell r="BW3982">
            <v>71</v>
          </cell>
        </row>
        <row r="3983">
          <cell r="L3983" t="str">
            <v>WA2504DP14CM</v>
          </cell>
          <cell r="BW3983">
            <v>78</v>
          </cell>
        </row>
        <row r="3984">
          <cell r="L3984" t="str">
            <v>WA2504DP14CM</v>
          </cell>
          <cell r="BW3984">
            <v>109</v>
          </cell>
        </row>
        <row r="3985">
          <cell r="L3985" t="str">
            <v>WA2504DP14CM</v>
          </cell>
          <cell r="BW3985">
            <v>77</v>
          </cell>
        </row>
        <row r="3986">
          <cell r="L3986" t="str">
            <v>WA2504DP14CM</v>
          </cell>
          <cell r="BW3986">
            <v>75</v>
          </cell>
        </row>
        <row r="3987">
          <cell r="L3987" t="str">
            <v>WA2504DP15BK</v>
          </cell>
          <cell r="BW3987">
            <v>56</v>
          </cell>
        </row>
        <row r="3988">
          <cell r="L3988" t="str">
            <v>WA2504DP15BK</v>
          </cell>
          <cell r="BW3988">
            <v>64</v>
          </cell>
        </row>
        <row r="3989">
          <cell r="L3989" t="str">
            <v>WA2504DP15BK</v>
          </cell>
          <cell r="BW3989">
            <v>53</v>
          </cell>
        </row>
        <row r="3990">
          <cell r="L3990" t="str">
            <v>WA2504DP15BK</v>
          </cell>
          <cell r="BW3990">
            <v>27</v>
          </cell>
        </row>
        <row r="3991">
          <cell r="L3991" t="str">
            <v>WA2504DP15CM</v>
          </cell>
          <cell r="BW3991">
            <v>73</v>
          </cell>
        </row>
        <row r="3992">
          <cell r="L3992" t="str">
            <v>WA2504DP15CM</v>
          </cell>
          <cell r="BW3992">
            <v>66</v>
          </cell>
        </row>
        <row r="3993">
          <cell r="L3993" t="str">
            <v>WA2504DP15CM</v>
          </cell>
          <cell r="BW3993">
            <v>49</v>
          </cell>
        </row>
        <row r="3994">
          <cell r="L3994" t="str">
            <v>WA2504DP15CM</v>
          </cell>
          <cell r="BW3994">
            <v>58</v>
          </cell>
        </row>
        <row r="3995">
          <cell r="L3995" t="str">
            <v>WA2504DP16BK</v>
          </cell>
          <cell r="BW3995">
            <v>83</v>
          </cell>
        </row>
        <row r="3996">
          <cell r="L3996" t="str">
            <v>WA2504DP16BK</v>
          </cell>
          <cell r="BW3996">
            <v>200</v>
          </cell>
        </row>
        <row r="3997">
          <cell r="L3997" t="str">
            <v>WA2504DP16BK</v>
          </cell>
          <cell r="BW3997">
            <v>505</v>
          </cell>
        </row>
        <row r="3998">
          <cell r="L3998" t="str">
            <v>WA2504DP16BK</v>
          </cell>
          <cell r="BW3998">
            <v>66</v>
          </cell>
        </row>
        <row r="3999">
          <cell r="L3999" t="str">
            <v>WA2504DP16BR</v>
          </cell>
          <cell r="BW3999">
            <v>19</v>
          </cell>
        </row>
        <row r="4000">
          <cell r="L4000" t="str">
            <v>WA2504DP16BR</v>
          </cell>
          <cell r="BW4000">
            <v>22</v>
          </cell>
        </row>
        <row r="4001">
          <cell r="L4001" t="str">
            <v>WA2504DP16BR</v>
          </cell>
          <cell r="BW4001">
            <v>57</v>
          </cell>
        </row>
        <row r="4002">
          <cell r="L4002" t="str">
            <v>WA2504DP16BR</v>
          </cell>
          <cell r="BW4002">
            <v>16</v>
          </cell>
        </row>
        <row r="4003">
          <cell r="L4003" t="str">
            <v>WA2504DP16CM</v>
          </cell>
          <cell r="BW4003">
            <v>284</v>
          </cell>
        </row>
        <row r="4004">
          <cell r="L4004" t="str">
            <v>WA2504DP16CM</v>
          </cell>
          <cell r="BW4004">
            <v>575</v>
          </cell>
        </row>
        <row r="4005">
          <cell r="L4005" t="str">
            <v>WA2504DP16CM</v>
          </cell>
          <cell r="BW4005">
            <v>847</v>
          </cell>
        </row>
        <row r="4006">
          <cell r="L4006" t="str">
            <v>WA2504DP16CM</v>
          </cell>
          <cell r="BW4006">
            <v>162</v>
          </cell>
        </row>
        <row r="4007">
          <cell r="L4007" t="str">
            <v>WA2504DP51BK</v>
          </cell>
          <cell r="BW4007">
            <v>545</v>
          </cell>
        </row>
        <row r="4008">
          <cell r="L4008" t="str">
            <v>WA2504DP51BK</v>
          </cell>
          <cell r="BW4008">
            <v>608</v>
          </cell>
        </row>
        <row r="4009">
          <cell r="L4009" t="str">
            <v>WA2504DP51CM</v>
          </cell>
          <cell r="BW4009">
            <v>550</v>
          </cell>
        </row>
        <row r="4010">
          <cell r="L4010" t="str">
            <v>WA2504DP51CM</v>
          </cell>
          <cell r="BW4010">
            <v>506</v>
          </cell>
        </row>
        <row r="4011">
          <cell r="L4011" t="str">
            <v>WA2504DP51PI</v>
          </cell>
          <cell r="BW4011">
            <v>113</v>
          </cell>
        </row>
        <row r="4012">
          <cell r="L4012" t="str">
            <v>WA2504DP51PI</v>
          </cell>
          <cell r="BW4012">
            <v>99</v>
          </cell>
        </row>
        <row r="4013">
          <cell r="L4013" t="str">
            <v>WA2504DP61BK</v>
          </cell>
          <cell r="BW4013">
            <v>330</v>
          </cell>
        </row>
        <row r="4014">
          <cell r="L4014" t="str">
            <v>WA2504DP61BK</v>
          </cell>
          <cell r="BW4014">
            <v>279</v>
          </cell>
        </row>
        <row r="4015">
          <cell r="L4015" t="str">
            <v>WA2504DP61BR</v>
          </cell>
          <cell r="BW4015">
            <v>60</v>
          </cell>
        </row>
        <row r="4016">
          <cell r="L4016" t="str">
            <v>WA2504DP61BR</v>
          </cell>
          <cell r="BW4016">
            <v>87</v>
          </cell>
        </row>
        <row r="4017">
          <cell r="L4017" t="str">
            <v>WA2504DP61LY</v>
          </cell>
          <cell r="BW4017">
            <v>331</v>
          </cell>
        </row>
        <row r="4018">
          <cell r="L4018" t="str">
            <v>WA2504DP61SB</v>
          </cell>
          <cell r="BW4018">
            <v>229</v>
          </cell>
        </row>
        <row r="4019">
          <cell r="L4019" t="str">
            <v>WA2504DP61SV</v>
          </cell>
          <cell r="BW4019">
            <v>285</v>
          </cell>
        </row>
        <row r="4020">
          <cell r="L4020" t="str">
            <v>WA2504DP62BR</v>
          </cell>
          <cell r="BW4020">
            <v>20</v>
          </cell>
        </row>
        <row r="4021">
          <cell r="L4021" t="str">
            <v>WA2504DP62CM</v>
          </cell>
          <cell r="BW4021">
            <v>274</v>
          </cell>
        </row>
        <row r="4022">
          <cell r="L4022" t="str">
            <v>WA2504DP63BE</v>
          </cell>
          <cell r="BW4022">
            <v>63</v>
          </cell>
        </row>
        <row r="4023">
          <cell r="L4023" t="str">
            <v>WA2504DP63BE</v>
          </cell>
          <cell r="BW4023">
            <v>68</v>
          </cell>
        </row>
        <row r="4024">
          <cell r="L4024" t="str">
            <v>WA2504DP63BK</v>
          </cell>
          <cell r="BW4024">
            <v>110</v>
          </cell>
        </row>
        <row r="4025">
          <cell r="L4025" t="str">
            <v>WA2504DP63BK</v>
          </cell>
          <cell r="BW4025">
            <v>141</v>
          </cell>
        </row>
        <row r="4026">
          <cell r="L4026" t="str">
            <v>WA2504DP64BK</v>
          </cell>
          <cell r="BW4026">
            <v>285</v>
          </cell>
        </row>
        <row r="4027">
          <cell r="L4027" t="str">
            <v>WA2504DP65CM</v>
          </cell>
          <cell r="BW4027">
            <v>296</v>
          </cell>
        </row>
        <row r="4028">
          <cell r="L4028" t="str">
            <v>WA2504DP65CM</v>
          </cell>
          <cell r="BW4028">
            <v>393</v>
          </cell>
        </row>
        <row r="4029">
          <cell r="L4029" t="str">
            <v>WA2504DP65MI</v>
          </cell>
          <cell r="BW4029">
            <v>138</v>
          </cell>
        </row>
        <row r="4030">
          <cell r="L4030" t="str">
            <v>WA2504DP65MI</v>
          </cell>
          <cell r="BW4030">
            <v>190</v>
          </cell>
        </row>
        <row r="4031">
          <cell r="L4031" t="str">
            <v>WA2504HD01BK</v>
          </cell>
          <cell r="BW4031">
            <v>231</v>
          </cell>
        </row>
        <row r="4032">
          <cell r="L4032" t="str">
            <v>WA2504HD01BK</v>
          </cell>
          <cell r="BW4032">
            <v>306</v>
          </cell>
        </row>
        <row r="4033">
          <cell r="L4033" t="str">
            <v>WA2504HD01BK</v>
          </cell>
          <cell r="BW4033">
            <v>314</v>
          </cell>
        </row>
        <row r="4034">
          <cell r="L4034" t="str">
            <v>WA2504HD01BK</v>
          </cell>
          <cell r="BW4034">
            <v>144</v>
          </cell>
        </row>
        <row r="4035">
          <cell r="L4035" t="str">
            <v>WA2504HD01BK</v>
          </cell>
          <cell r="BW4035">
            <v>78</v>
          </cell>
        </row>
        <row r="4036">
          <cell r="L4036" t="str">
            <v>WA2504HD01BL</v>
          </cell>
          <cell r="BW4036">
            <v>118</v>
          </cell>
        </row>
        <row r="4037">
          <cell r="L4037" t="str">
            <v>WA2504HD01BL</v>
          </cell>
          <cell r="BW4037">
            <v>179</v>
          </cell>
        </row>
        <row r="4038">
          <cell r="L4038" t="str">
            <v>WA2504HD01BL</v>
          </cell>
          <cell r="BW4038">
            <v>158</v>
          </cell>
        </row>
        <row r="4039">
          <cell r="L4039" t="str">
            <v>WA2504HD01BL</v>
          </cell>
          <cell r="BW4039">
            <v>99</v>
          </cell>
        </row>
        <row r="4040">
          <cell r="L4040" t="str">
            <v>WA2504HD01LG</v>
          </cell>
          <cell r="BW4040">
            <v>357</v>
          </cell>
        </row>
        <row r="4041">
          <cell r="L4041" t="str">
            <v>WA2504HD01LG</v>
          </cell>
          <cell r="BW4041">
            <v>417</v>
          </cell>
        </row>
        <row r="4042">
          <cell r="L4042" t="str">
            <v>WA2504HD01LG</v>
          </cell>
          <cell r="BW4042">
            <v>394</v>
          </cell>
        </row>
        <row r="4043">
          <cell r="L4043" t="str">
            <v>WA2504HD01LG</v>
          </cell>
          <cell r="BW4043">
            <v>260</v>
          </cell>
        </row>
        <row r="4044">
          <cell r="L4044" t="str">
            <v>WA2504HD01LG</v>
          </cell>
          <cell r="BW4044">
            <v>88</v>
          </cell>
        </row>
        <row r="4045">
          <cell r="L4045" t="str">
            <v>WA2504HD11BK</v>
          </cell>
          <cell r="BW4045">
            <v>201</v>
          </cell>
        </row>
        <row r="4046">
          <cell r="L4046" t="str">
            <v>WA2504HD11BK</v>
          </cell>
          <cell r="BW4046">
            <v>269</v>
          </cell>
        </row>
        <row r="4047">
          <cell r="L4047" t="str">
            <v>WA2504HD11BK</v>
          </cell>
          <cell r="BW4047">
            <v>184</v>
          </cell>
        </row>
        <row r="4048">
          <cell r="L4048" t="str">
            <v>WA2504HD11BK</v>
          </cell>
          <cell r="BW4048">
            <v>122</v>
          </cell>
        </row>
        <row r="4049">
          <cell r="L4049" t="str">
            <v>WA2504HD11BR</v>
          </cell>
          <cell r="BW4049">
            <v>59</v>
          </cell>
        </row>
        <row r="4050">
          <cell r="L4050" t="str">
            <v>WA2504HD11BR</v>
          </cell>
          <cell r="BW4050">
            <v>39</v>
          </cell>
        </row>
        <row r="4051">
          <cell r="L4051" t="str">
            <v>WA2504HD11BR</v>
          </cell>
          <cell r="BW4051">
            <v>52</v>
          </cell>
        </row>
        <row r="4052">
          <cell r="L4052" t="str">
            <v>WA2504HD11BR</v>
          </cell>
          <cell r="BW4052">
            <v>53</v>
          </cell>
        </row>
        <row r="4053">
          <cell r="L4053" t="str">
            <v>WA2504HD11GN</v>
          </cell>
          <cell r="BW4053">
            <v>53</v>
          </cell>
        </row>
        <row r="4054">
          <cell r="L4054" t="str">
            <v>WA2504HD11GN</v>
          </cell>
          <cell r="BW4054">
            <v>85</v>
          </cell>
        </row>
        <row r="4055">
          <cell r="L4055" t="str">
            <v>WA2504HD11GN</v>
          </cell>
          <cell r="BW4055">
            <v>48</v>
          </cell>
        </row>
        <row r="4056">
          <cell r="L4056" t="str">
            <v>WA2504HD11GN</v>
          </cell>
          <cell r="BW4056">
            <v>31</v>
          </cell>
        </row>
        <row r="4057">
          <cell r="L4057" t="str">
            <v>WA2504HD12CM</v>
          </cell>
          <cell r="BW4057">
            <v>205</v>
          </cell>
        </row>
        <row r="4058">
          <cell r="L4058" t="str">
            <v>WA2504HD12CM</v>
          </cell>
          <cell r="BW4058">
            <v>282</v>
          </cell>
        </row>
        <row r="4059">
          <cell r="L4059" t="str">
            <v>WA2504HD12CM</v>
          </cell>
          <cell r="BW4059">
            <v>248</v>
          </cell>
        </row>
        <row r="4060">
          <cell r="L4060" t="str">
            <v>WA2504HD12CM</v>
          </cell>
          <cell r="BW4060">
            <v>169</v>
          </cell>
        </row>
        <row r="4061">
          <cell r="L4061" t="str">
            <v>WA2504HD12NA</v>
          </cell>
          <cell r="BW4061">
            <v>122</v>
          </cell>
        </row>
        <row r="4062">
          <cell r="L4062" t="str">
            <v>WA2504HD12NA</v>
          </cell>
          <cell r="BW4062">
            <v>185</v>
          </cell>
        </row>
        <row r="4063">
          <cell r="L4063" t="str">
            <v>WA2504HD12NA</v>
          </cell>
          <cell r="BW4063">
            <v>180</v>
          </cell>
        </row>
        <row r="4064">
          <cell r="L4064" t="str">
            <v>WA2504HD12NA</v>
          </cell>
          <cell r="BW4064">
            <v>101</v>
          </cell>
        </row>
        <row r="4065">
          <cell r="L4065" t="str">
            <v>WA2504HD13NA</v>
          </cell>
          <cell r="BW4065">
            <v>130</v>
          </cell>
        </row>
        <row r="4066">
          <cell r="L4066" t="str">
            <v>WA2504HD13NA</v>
          </cell>
          <cell r="BW4066">
            <v>130</v>
          </cell>
        </row>
        <row r="4067">
          <cell r="L4067" t="str">
            <v>WA2504HD13NA</v>
          </cell>
          <cell r="BW4067">
            <v>110</v>
          </cell>
        </row>
        <row r="4068">
          <cell r="L4068" t="str">
            <v>WA2504HD13NA</v>
          </cell>
          <cell r="BW4068">
            <v>65</v>
          </cell>
        </row>
        <row r="4069">
          <cell r="L4069" t="str">
            <v>WA2504HD13YE</v>
          </cell>
          <cell r="BW4069">
            <v>47</v>
          </cell>
        </row>
        <row r="4070">
          <cell r="L4070" t="str">
            <v>WA2504HD13YE</v>
          </cell>
          <cell r="BW4070">
            <v>57</v>
          </cell>
        </row>
        <row r="4071">
          <cell r="L4071" t="str">
            <v>WA2504HD13YE</v>
          </cell>
          <cell r="BW4071">
            <v>28</v>
          </cell>
        </row>
        <row r="4072">
          <cell r="L4072" t="str">
            <v>WA2504HD13YE</v>
          </cell>
          <cell r="BW4072">
            <v>32</v>
          </cell>
        </row>
        <row r="4073">
          <cell r="L4073" t="str">
            <v>WA2504JK16BK</v>
          </cell>
          <cell r="BW4073">
            <v>57</v>
          </cell>
        </row>
        <row r="4074">
          <cell r="L4074" t="str">
            <v>WA2504JK16BK</v>
          </cell>
          <cell r="BW4074">
            <v>19</v>
          </cell>
        </row>
        <row r="4075">
          <cell r="L4075" t="str">
            <v>WA2504JK16BK</v>
          </cell>
          <cell r="BW4075">
            <v>8</v>
          </cell>
        </row>
        <row r="4076">
          <cell r="L4076" t="str">
            <v>WA2504JK16BK</v>
          </cell>
          <cell r="BW4076">
            <v>53</v>
          </cell>
        </row>
        <row r="4077">
          <cell r="L4077" t="str">
            <v>WA2504JK17BL</v>
          </cell>
          <cell r="BW4077">
            <v>52</v>
          </cell>
        </row>
        <row r="4078">
          <cell r="L4078" t="str">
            <v>WA2504JK17BL</v>
          </cell>
          <cell r="BW4078">
            <v>159</v>
          </cell>
        </row>
        <row r="4079">
          <cell r="L4079" t="str">
            <v>WA2504JK67CE</v>
          </cell>
          <cell r="BW4079">
            <v>152</v>
          </cell>
        </row>
        <row r="4080">
          <cell r="L4080" t="str">
            <v>WA2504JK67DN</v>
          </cell>
          <cell r="BW4080">
            <v>15</v>
          </cell>
        </row>
        <row r="4081">
          <cell r="L4081" t="str">
            <v>WA2504JK68CE</v>
          </cell>
          <cell r="BW4081">
            <v>87</v>
          </cell>
        </row>
        <row r="4082">
          <cell r="L4082" t="str">
            <v>WA2504PT01BK</v>
          </cell>
          <cell r="BW4082">
            <v>97</v>
          </cell>
        </row>
        <row r="4083">
          <cell r="L4083" t="str">
            <v>WA2504PT01BK</v>
          </cell>
          <cell r="BW4083">
            <v>225</v>
          </cell>
        </row>
        <row r="4084">
          <cell r="L4084" t="str">
            <v>WA2504PT01BK</v>
          </cell>
          <cell r="BW4084">
            <v>465</v>
          </cell>
        </row>
        <row r="4085">
          <cell r="L4085" t="str">
            <v>WA2504PT01BK</v>
          </cell>
          <cell r="BW4085">
            <v>13</v>
          </cell>
        </row>
        <row r="4086">
          <cell r="L4086" t="str">
            <v>WA2504PT01BK</v>
          </cell>
          <cell r="BW4086">
            <v>64</v>
          </cell>
        </row>
        <row r="4087">
          <cell r="L4087" t="str">
            <v>WA2504PT01GR</v>
          </cell>
          <cell r="BW4087">
            <v>154</v>
          </cell>
        </row>
        <row r="4088">
          <cell r="L4088" t="str">
            <v>WA2504PT01GR</v>
          </cell>
          <cell r="BW4088">
            <v>224</v>
          </cell>
        </row>
        <row r="4089">
          <cell r="L4089" t="str">
            <v>WA2504PT01GR</v>
          </cell>
          <cell r="BW4089">
            <v>390</v>
          </cell>
        </row>
        <row r="4090">
          <cell r="L4090" t="str">
            <v>WA2504PT01GR</v>
          </cell>
          <cell r="BW4090">
            <v>23</v>
          </cell>
        </row>
        <row r="4091">
          <cell r="L4091" t="str">
            <v>WA2504PT01GR</v>
          </cell>
          <cell r="BW4091">
            <v>49</v>
          </cell>
        </row>
        <row r="4092">
          <cell r="L4092" t="str">
            <v>WA2504PT02BK</v>
          </cell>
          <cell r="BW4092">
            <v>175</v>
          </cell>
        </row>
        <row r="4093">
          <cell r="L4093" t="str">
            <v>WA2504PT02BK</v>
          </cell>
          <cell r="BW4093">
            <v>344</v>
          </cell>
        </row>
        <row r="4094">
          <cell r="L4094" t="str">
            <v>WA2504PT02BK</v>
          </cell>
          <cell r="BW4094">
            <v>463</v>
          </cell>
        </row>
        <row r="4095">
          <cell r="L4095" t="str">
            <v>WA2504PT02BK</v>
          </cell>
          <cell r="BW4095">
            <v>33</v>
          </cell>
        </row>
        <row r="4096">
          <cell r="L4096" t="str">
            <v>WA2504PT02BK</v>
          </cell>
          <cell r="BW4096">
            <v>100</v>
          </cell>
        </row>
        <row r="4097">
          <cell r="L4097" t="str">
            <v>WA2504PT02LG</v>
          </cell>
          <cell r="BW4097">
            <v>201</v>
          </cell>
        </row>
        <row r="4098">
          <cell r="L4098" t="str">
            <v>WA2504PT02LG</v>
          </cell>
          <cell r="BW4098">
            <v>306</v>
          </cell>
        </row>
        <row r="4099">
          <cell r="L4099" t="str">
            <v>WA2504PT02LG</v>
          </cell>
          <cell r="BW4099">
            <v>368</v>
          </cell>
        </row>
        <row r="4100">
          <cell r="L4100" t="str">
            <v>WA2504PT02LG</v>
          </cell>
          <cell r="BW4100">
            <v>36</v>
          </cell>
        </row>
        <row r="4101">
          <cell r="L4101" t="str">
            <v>WA2504PT02LG</v>
          </cell>
          <cell r="BW4101">
            <v>85</v>
          </cell>
        </row>
        <row r="4102">
          <cell r="L4102" t="str">
            <v>WA2504PT11BK</v>
          </cell>
          <cell r="BW4102">
            <v>85</v>
          </cell>
        </row>
        <row r="4103">
          <cell r="L4103" t="str">
            <v>WA2504PT11BK</v>
          </cell>
          <cell r="BW4103">
            <v>157</v>
          </cell>
        </row>
        <row r="4104">
          <cell r="L4104" t="str">
            <v>WA2504PT11BK</v>
          </cell>
          <cell r="BW4104">
            <v>68</v>
          </cell>
        </row>
        <row r="4105">
          <cell r="L4105" t="str">
            <v>WA2504PT11BK</v>
          </cell>
          <cell r="BW4105">
            <v>33</v>
          </cell>
        </row>
        <row r="4106">
          <cell r="L4106" t="str">
            <v>WA2504PT11GR</v>
          </cell>
          <cell r="BW4106">
            <v>87</v>
          </cell>
        </row>
        <row r="4107">
          <cell r="L4107" t="str">
            <v>WA2504PT11GR</v>
          </cell>
          <cell r="BW4107">
            <v>181</v>
          </cell>
        </row>
        <row r="4108">
          <cell r="L4108" t="str">
            <v>WA2504PT11GR</v>
          </cell>
          <cell r="BW4108">
            <v>82</v>
          </cell>
        </row>
        <row r="4109">
          <cell r="L4109" t="str">
            <v>WA2504PT11GR</v>
          </cell>
          <cell r="BW4109">
            <v>42</v>
          </cell>
        </row>
        <row r="4110">
          <cell r="L4110" t="str">
            <v>WA2504PT12BK</v>
          </cell>
          <cell r="BW4110">
            <v>93</v>
          </cell>
        </row>
        <row r="4111">
          <cell r="L4111" t="str">
            <v>WA2504PT12BK</v>
          </cell>
          <cell r="BW4111">
            <v>147</v>
          </cell>
        </row>
        <row r="4112">
          <cell r="L4112" t="str">
            <v>WA2504PT12BK</v>
          </cell>
          <cell r="BW4112">
            <v>127</v>
          </cell>
        </row>
        <row r="4113">
          <cell r="L4113" t="str">
            <v>WA2504PT12CM</v>
          </cell>
          <cell r="BW4113">
            <v>102</v>
          </cell>
        </row>
        <row r="4114">
          <cell r="L4114" t="str">
            <v>WA2504PT12CM</v>
          </cell>
          <cell r="BW4114">
            <v>147</v>
          </cell>
        </row>
        <row r="4115">
          <cell r="L4115" t="str">
            <v>WA2504PT12CM</v>
          </cell>
          <cell r="BW4115">
            <v>86</v>
          </cell>
        </row>
        <row r="4116">
          <cell r="L4116" t="str">
            <v>WA2504PT13DN</v>
          </cell>
          <cell r="BW4116">
            <v>113</v>
          </cell>
        </row>
        <row r="4117">
          <cell r="L4117" t="str">
            <v>WA2504PT13DN</v>
          </cell>
          <cell r="BW4117">
            <v>165</v>
          </cell>
        </row>
        <row r="4118">
          <cell r="L4118" t="str">
            <v>WA2504SO03BK</v>
          </cell>
          <cell r="BW4118">
            <v>76</v>
          </cell>
        </row>
        <row r="4119">
          <cell r="L4119" t="str">
            <v>WA2504SO03BK</v>
          </cell>
          <cell r="BW4119">
            <v>101</v>
          </cell>
        </row>
        <row r="4120">
          <cell r="L4120" t="str">
            <v>WA2504SO03BK</v>
          </cell>
          <cell r="BW4120">
            <v>78</v>
          </cell>
        </row>
        <row r="4121">
          <cell r="L4121" t="str">
            <v>WA2504SO03BK</v>
          </cell>
          <cell r="BW4121">
            <v>18</v>
          </cell>
        </row>
        <row r="4122">
          <cell r="L4122" t="str">
            <v>WA2504SO03GR</v>
          </cell>
          <cell r="BW4122">
            <v>133</v>
          </cell>
        </row>
        <row r="4123">
          <cell r="L4123" t="str">
            <v>WA2504SO03GR</v>
          </cell>
          <cell r="BW4123">
            <v>215</v>
          </cell>
        </row>
        <row r="4124">
          <cell r="L4124" t="str">
            <v>WA2504SO03GR</v>
          </cell>
          <cell r="BW4124">
            <v>145</v>
          </cell>
        </row>
        <row r="4125">
          <cell r="L4125" t="str">
            <v>WA2504SO03GR</v>
          </cell>
          <cell r="BW4125">
            <v>35</v>
          </cell>
        </row>
        <row r="4126">
          <cell r="L4126" t="str">
            <v>WA2504SO14BK</v>
          </cell>
          <cell r="BW4126">
            <v>83</v>
          </cell>
        </row>
        <row r="4127">
          <cell r="L4127" t="str">
            <v>WA2504SO14BK</v>
          </cell>
          <cell r="BW4127">
            <v>124</v>
          </cell>
        </row>
        <row r="4128">
          <cell r="L4128" t="str">
            <v>WA2504SO14BK</v>
          </cell>
          <cell r="BW4128">
            <v>91</v>
          </cell>
        </row>
        <row r="4129">
          <cell r="L4129" t="str">
            <v>WA2504SO14BK</v>
          </cell>
          <cell r="BW4129">
            <v>41</v>
          </cell>
        </row>
        <row r="4130">
          <cell r="L4130" t="str">
            <v>WA2504SO14IN</v>
          </cell>
          <cell r="BW4130">
            <v>69</v>
          </cell>
        </row>
        <row r="4131">
          <cell r="L4131" t="str">
            <v>WA2504SO14IN</v>
          </cell>
          <cell r="BW4131">
            <v>80</v>
          </cell>
        </row>
        <row r="4132">
          <cell r="L4132" t="str">
            <v>WA2504SO14IN</v>
          </cell>
          <cell r="BW4132">
            <v>82</v>
          </cell>
        </row>
        <row r="4133">
          <cell r="L4133" t="str">
            <v>WA2504SO14IN</v>
          </cell>
          <cell r="BW4133">
            <v>29</v>
          </cell>
        </row>
        <row r="4134">
          <cell r="L4134" t="str">
            <v>WA2601BG01BK</v>
          </cell>
          <cell r="BW4134">
            <v>220</v>
          </cell>
        </row>
        <row r="4135">
          <cell r="L4135" t="str">
            <v>WA2601BG01IN</v>
          </cell>
          <cell r="BW4135">
            <v>190</v>
          </cell>
        </row>
        <row r="4136">
          <cell r="L4136" t="str">
            <v>WA2601BG02BK</v>
          </cell>
          <cell r="BW4136">
            <v>441</v>
          </cell>
        </row>
        <row r="4137">
          <cell r="L4137" t="str">
            <v>WA2601BG02IN</v>
          </cell>
          <cell r="BW4137">
            <v>258</v>
          </cell>
        </row>
        <row r="4138">
          <cell r="L4138" t="str">
            <v>WA2601BG51BK</v>
          </cell>
          <cell r="BW4138">
            <v>298</v>
          </cell>
        </row>
        <row r="4139">
          <cell r="L4139" t="str">
            <v>WA2601BG51GR</v>
          </cell>
          <cell r="BW4139">
            <v>121</v>
          </cell>
        </row>
        <row r="4140">
          <cell r="L4140" t="str">
            <v>WA2601BG51YE</v>
          </cell>
          <cell r="BW4140">
            <v>184</v>
          </cell>
        </row>
        <row r="4141">
          <cell r="L4141" t="str">
            <v>WA2601BG52BK</v>
          </cell>
          <cell r="BW4141">
            <v>84</v>
          </cell>
        </row>
        <row r="4142">
          <cell r="L4142" t="str">
            <v>WA2601BG52SB</v>
          </cell>
          <cell r="BW4142">
            <v>144</v>
          </cell>
        </row>
        <row r="4143">
          <cell r="L4143" t="str">
            <v>WA2601BG53BK</v>
          </cell>
          <cell r="BW4143">
            <v>238</v>
          </cell>
        </row>
        <row r="4144">
          <cell r="L4144" t="str">
            <v>WA2601BG53IN</v>
          </cell>
          <cell r="BW4144">
            <v>214</v>
          </cell>
        </row>
        <row r="4145">
          <cell r="L4145" t="str">
            <v>WA2601BG53IV</v>
          </cell>
          <cell r="BW4145">
            <v>161</v>
          </cell>
        </row>
        <row r="4146">
          <cell r="L4146" t="str">
            <v>WA2601BG54BK</v>
          </cell>
          <cell r="BW4146">
            <v>364</v>
          </cell>
        </row>
        <row r="4147">
          <cell r="L4147" t="str">
            <v>WA2601BG54IN</v>
          </cell>
          <cell r="BW4147">
            <v>304</v>
          </cell>
        </row>
        <row r="4148">
          <cell r="L4148" t="str">
            <v>WA2601BG54PI</v>
          </cell>
          <cell r="BW4148">
            <v>215</v>
          </cell>
        </row>
        <row r="4149">
          <cell r="L4149" t="str">
            <v>WA2601BG55BK</v>
          </cell>
          <cell r="BW4149">
            <v>202</v>
          </cell>
        </row>
        <row r="4150">
          <cell r="L4150" t="str">
            <v>WA2601BG56BK</v>
          </cell>
          <cell r="BW4150">
            <v>176</v>
          </cell>
        </row>
        <row r="4151">
          <cell r="L4151" t="str">
            <v>WA2601BG57BK</v>
          </cell>
          <cell r="BW4151">
            <v>142</v>
          </cell>
        </row>
        <row r="4152">
          <cell r="L4152" t="str">
            <v>WA2601BG57SV</v>
          </cell>
          <cell r="BW4152">
            <v>145</v>
          </cell>
        </row>
        <row r="4153">
          <cell r="L4153" t="str">
            <v>WA2601BG57YE</v>
          </cell>
          <cell r="BW4153">
            <v>204</v>
          </cell>
        </row>
        <row r="4154">
          <cell r="L4154" t="str">
            <v>WA2601BG58BK</v>
          </cell>
          <cell r="BW4154">
            <v>275</v>
          </cell>
        </row>
        <row r="4155">
          <cell r="L4155" t="str">
            <v>WA2601BG59BE</v>
          </cell>
          <cell r="BW4155">
            <v>444</v>
          </cell>
        </row>
        <row r="4156">
          <cell r="L4156" t="str">
            <v>WA2601BG60CH</v>
          </cell>
          <cell r="BW4156">
            <v>251</v>
          </cell>
        </row>
        <row r="4157">
          <cell r="L4157" t="str">
            <v>WA2601BG61BR</v>
          </cell>
          <cell r="BW4157">
            <v>277</v>
          </cell>
        </row>
        <row r="4158">
          <cell r="L4158" t="str">
            <v>WA2601BG71BR</v>
          </cell>
          <cell r="BW4158">
            <v>0</v>
          </cell>
        </row>
        <row r="4159">
          <cell r="L4159" t="str">
            <v>WA2601BG72IN</v>
          </cell>
          <cell r="BW4159">
            <v>0</v>
          </cell>
        </row>
        <row r="4160">
          <cell r="L4160" t="str">
            <v>WA2601BP01BK</v>
          </cell>
          <cell r="BW4160">
            <v>918</v>
          </cell>
        </row>
        <row r="4161">
          <cell r="L4161" t="str">
            <v>WA2601BP01IV</v>
          </cell>
          <cell r="BW4161">
            <v>413</v>
          </cell>
        </row>
        <row r="4162">
          <cell r="L4162" t="str">
            <v>WA2601BP02BK</v>
          </cell>
          <cell r="BW4162">
            <v>3711</v>
          </cell>
        </row>
        <row r="4163">
          <cell r="L4163" t="str">
            <v>WA2601BP02IV</v>
          </cell>
          <cell r="BW4163">
            <v>548</v>
          </cell>
        </row>
        <row r="4164">
          <cell r="L4164" t="str">
            <v>WA2601BP03BK</v>
          </cell>
          <cell r="BW4164">
            <v>673</v>
          </cell>
        </row>
        <row r="4165">
          <cell r="L4165" t="str">
            <v>WA2601BP03IV</v>
          </cell>
          <cell r="BW4165">
            <v>505</v>
          </cell>
        </row>
        <row r="4166">
          <cell r="L4166" t="str">
            <v>WA2601BP03MI</v>
          </cell>
          <cell r="BW4166">
            <v>179</v>
          </cell>
        </row>
        <row r="4167">
          <cell r="L4167" t="str">
            <v>WA2601BP04BK</v>
          </cell>
          <cell r="BW4167">
            <v>5120</v>
          </cell>
        </row>
        <row r="4168">
          <cell r="L4168" t="str">
            <v>WA2601BP04GR</v>
          </cell>
          <cell r="BW4168">
            <v>357</v>
          </cell>
        </row>
        <row r="4169">
          <cell r="L4169" t="str">
            <v>WA2601BP05BK</v>
          </cell>
          <cell r="BW4169">
            <v>1310</v>
          </cell>
        </row>
        <row r="4170">
          <cell r="L4170" t="str">
            <v>WA2601BP07BK</v>
          </cell>
          <cell r="BW4170">
            <v>470</v>
          </cell>
        </row>
        <row r="4171">
          <cell r="L4171" t="str">
            <v>WA2601BP51BK</v>
          </cell>
          <cell r="BW4171">
            <v>596</v>
          </cell>
        </row>
        <row r="4172">
          <cell r="L4172" t="str">
            <v>WA2601BP51GR</v>
          </cell>
          <cell r="BW4172">
            <v>184</v>
          </cell>
        </row>
        <row r="4173">
          <cell r="L4173" t="str">
            <v>WA2601BP51IV</v>
          </cell>
          <cell r="BW4173">
            <v>374</v>
          </cell>
        </row>
        <row r="4174">
          <cell r="L4174" t="str">
            <v>WA2601BP52BK</v>
          </cell>
          <cell r="BW4174">
            <v>528</v>
          </cell>
        </row>
        <row r="4175">
          <cell r="L4175" t="str">
            <v>WA2601BP52IN</v>
          </cell>
          <cell r="BW4175">
            <v>124</v>
          </cell>
        </row>
        <row r="4176">
          <cell r="L4176" t="str">
            <v>WA2601BP52IV</v>
          </cell>
          <cell r="BW4176">
            <v>261</v>
          </cell>
        </row>
        <row r="4177">
          <cell r="L4177" t="str">
            <v>WA2601BP61GR</v>
          </cell>
          <cell r="BW4177">
            <v>296</v>
          </cell>
        </row>
        <row r="4178">
          <cell r="L4178" t="str">
            <v>WA2601BP61WH</v>
          </cell>
          <cell r="BW4178">
            <v>259</v>
          </cell>
        </row>
        <row r="4179">
          <cell r="L4179" t="str">
            <v>WA2601CA01BE</v>
          </cell>
          <cell r="BW4179">
            <v>1313</v>
          </cell>
        </row>
        <row r="4180">
          <cell r="L4180" t="str">
            <v>WA2601CA01BK</v>
          </cell>
          <cell r="BW4180">
            <v>1244</v>
          </cell>
        </row>
        <row r="4181">
          <cell r="L4181" t="str">
            <v>WA2601CA01CH</v>
          </cell>
          <cell r="BW4181">
            <v>1341</v>
          </cell>
        </row>
        <row r="4182">
          <cell r="L4182" t="str">
            <v>WA2601CA01GN</v>
          </cell>
          <cell r="BW4182">
            <v>587</v>
          </cell>
        </row>
        <row r="4183">
          <cell r="L4183" t="str">
            <v>WA2601CA01GR</v>
          </cell>
          <cell r="BW4183">
            <v>560</v>
          </cell>
        </row>
        <row r="4184">
          <cell r="L4184" t="str">
            <v>WA2601CA01NA</v>
          </cell>
          <cell r="BW4184">
            <v>1227</v>
          </cell>
        </row>
        <row r="4185">
          <cell r="L4185" t="str">
            <v>WA2601CA01WH</v>
          </cell>
          <cell r="BW4185">
            <v>656</v>
          </cell>
        </row>
        <row r="4186">
          <cell r="L4186" t="str">
            <v>WA2601CA01YE</v>
          </cell>
          <cell r="BW4186">
            <v>368</v>
          </cell>
        </row>
        <row r="4187">
          <cell r="L4187" t="str">
            <v>WA2601CA02BR</v>
          </cell>
          <cell r="BW4187">
            <v>619</v>
          </cell>
        </row>
        <row r="4188">
          <cell r="L4188" t="str">
            <v>WA2601CA02CH</v>
          </cell>
          <cell r="BW4188">
            <v>1259</v>
          </cell>
        </row>
        <row r="4189">
          <cell r="L4189" t="str">
            <v>WA2601CA02IV</v>
          </cell>
          <cell r="BW4189">
            <v>1016</v>
          </cell>
        </row>
        <row r="4190">
          <cell r="L4190" t="str">
            <v>WA2601CA02KH</v>
          </cell>
          <cell r="BW4190">
            <v>792</v>
          </cell>
        </row>
        <row r="4191">
          <cell r="L4191" t="str">
            <v>WA2601CA02PI</v>
          </cell>
          <cell r="BW4191">
            <v>458</v>
          </cell>
        </row>
        <row r="4192">
          <cell r="L4192" t="str">
            <v>WA2601CA02SB</v>
          </cell>
          <cell r="BW4192">
            <v>875</v>
          </cell>
        </row>
        <row r="4193">
          <cell r="L4193" t="str">
            <v>WA2601CA02YE</v>
          </cell>
          <cell r="BW4193">
            <v>402</v>
          </cell>
        </row>
        <row r="4194">
          <cell r="L4194" t="str">
            <v>WA2601CA03BL</v>
          </cell>
          <cell r="BW4194">
            <v>387</v>
          </cell>
        </row>
        <row r="4195">
          <cell r="L4195" t="str">
            <v>WA2601CA03CH</v>
          </cell>
          <cell r="BW4195">
            <v>280</v>
          </cell>
        </row>
        <row r="4196">
          <cell r="L4196" t="str">
            <v>WA2601CA03RD</v>
          </cell>
          <cell r="BW4196">
            <v>125</v>
          </cell>
        </row>
        <row r="4197">
          <cell r="L4197" t="str">
            <v>WA2601CA04GN</v>
          </cell>
          <cell r="BW4197">
            <v>141</v>
          </cell>
        </row>
        <row r="4198">
          <cell r="L4198" t="str">
            <v>WA2601CA04IV</v>
          </cell>
          <cell r="BW4198">
            <v>437</v>
          </cell>
        </row>
        <row r="4199">
          <cell r="L4199" t="str">
            <v>WA2601CA05BR</v>
          </cell>
          <cell r="BW4199">
            <v>380</v>
          </cell>
        </row>
        <row r="4200">
          <cell r="L4200" t="str">
            <v>WA2601CA05IV</v>
          </cell>
          <cell r="BW4200">
            <v>141</v>
          </cell>
        </row>
        <row r="4201">
          <cell r="L4201" t="str">
            <v>WA2601CA06PI</v>
          </cell>
          <cell r="BW4201">
            <v>224</v>
          </cell>
        </row>
        <row r="4202">
          <cell r="L4202" t="str">
            <v>WA2601CA06YE</v>
          </cell>
          <cell r="BW4202">
            <v>202</v>
          </cell>
        </row>
        <row r="4203">
          <cell r="L4203" t="str">
            <v>WA2601CA07IN</v>
          </cell>
          <cell r="BW4203">
            <v>335</v>
          </cell>
        </row>
        <row r="4204">
          <cell r="L4204" t="str">
            <v>WA2601CA07IV</v>
          </cell>
          <cell r="BW4204">
            <v>119</v>
          </cell>
        </row>
        <row r="4205">
          <cell r="L4205" t="str">
            <v>WA2601CA07SB</v>
          </cell>
          <cell r="BW4205">
            <v>238</v>
          </cell>
        </row>
        <row r="4206">
          <cell r="L4206" t="str">
            <v>WA2601CA08BK</v>
          </cell>
          <cell r="BW4206">
            <v>180</v>
          </cell>
        </row>
        <row r="4207">
          <cell r="L4207" t="str">
            <v>WA2601CA08BL</v>
          </cell>
          <cell r="BW4207">
            <v>205</v>
          </cell>
        </row>
        <row r="4208">
          <cell r="L4208" t="str">
            <v>WA2601CA09BK</v>
          </cell>
          <cell r="BW4208">
            <v>335</v>
          </cell>
        </row>
        <row r="4209">
          <cell r="L4209" t="str">
            <v>WA2601CA09KH</v>
          </cell>
          <cell r="BW4209">
            <v>376</v>
          </cell>
        </row>
        <row r="4210">
          <cell r="L4210" t="str">
            <v>WA2601CA10BE</v>
          </cell>
          <cell r="BW4210">
            <v>206</v>
          </cell>
        </row>
        <row r="4211">
          <cell r="L4211" t="str">
            <v>WA2601CA10BK</v>
          </cell>
          <cell r="BW4211">
            <v>196</v>
          </cell>
        </row>
        <row r="4212">
          <cell r="L4212" t="str">
            <v>WA2601CA10PI</v>
          </cell>
          <cell r="BW4212">
            <v>159</v>
          </cell>
        </row>
        <row r="4213">
          <cell r="L4213" t="str">
            <v>WA2601CA11BK</v>
          </cell>
          <cell r="BW4213">
            <v>234</v>
          </cell>
        </row>
        <row r="4214">
          <cell r="L4214" t="str">
            <v>WA2601CA11IV</v>
          </cell>
          <cell r="BW4214">
            <v>172</v>
          </cell>
        </row>
        <row r="4215">
          <cell r="L4215" t="str">
            <v>WA2601CA12BE</v>
          </cell>
          <cell r="BW4215">
            <v>236</v>
          </cell>
        </row>
        <row r="4216">
          <cell r="L4216" t="str">
            <v>WA2601CA13KH</v>
          </cell>
          <cell r="BW4216">
            <v>215</v>
          </cell>
        </row>
        <row r="4217">
          <cell r="L4217" t="str">
            <v>WA2601CA14WH</v>
          </cell>
          <cell r="BW4217">
            <v>195</v>
          </cell>
        </row>
        <row r="4218">
          <cell r="L4218" t="str">
            <v>WA2601CA15BK</v>
          </cell>
          <cell r="BW4218">
            <v>225</v>
          </cell>
        </row>
        <row r="4219">
          <cell r="L4219" t="str">
            <v>WA2601CA16BE</v>
          </cell>
          <cell r="BW4219">
            <v>243</v>
          </cell>
        </row>
        <row r="4220">
          <cell r="L4220" t="str">
            <v>WA2601CA16CH</v>
          </cell>
          <cell r="BW4220">
            <v>161</v>
          </cell>
        </row>
        <row r="4221">
          <cell r="L4221" t="str">
            <v>WA2601CA17BK</v>
          </cell>
          <cell r="BW4221">
            <v>469</v>
          </cell>
        </row>
        <row r="4222">
          <cell r="L4222" t="str">
            <v>WA2601CA17IV</v>
          </cell>
          <cell r="BW4222">
            <v>476</v>
          </cell>
        </row>
        <row r="4223">
          <cell r="L4223" t="str">
            <v>WA2601CA51BK</v>
          </cell>
          <cell r="BW4223">
            <v>703</v>
          </cell>
        </row>
        <row r="4224">
          <cell r="L4224" t="str">
            <v>WA2601CA51IV</v>
          </cell>
          <cell r="BW4224">
            <v>730</v>
          </cell>
        </row>
        <row r="4225">
          <cell r="L4225" t="str">
            <v>WA2601CA61WH</v>
          </cell>
          <cell r="BW4225">
            <v>291</v>
          </cell>
        </row>
        <row r="4226">
          <cell r="L4226" t="str">
            <v>WA2601CA71IN</v>
          </cell>
          <cell r="BW4226">
            <v>0</v>
          </cell>
        </row>
        <row r="4227">
          <cell r="L4227" t="str">
            <v>WA2601CB01BK</v>
          </cell>
          <cell r="BW4227">
            <v>1217</v>
          </cell>
        </row>
        <row r="4228">
          <cell r="L4228" t="str">
            <v>WA2601CB01IV</v>
          </cell>
          <cell r="BW4228">
            <v>330</v>
          </cell>
        </row>
        <row r="4229">
          <cell r="L4229" t="str">
            <v>WA2601CB02BK</v>
          </cell>
          <cell r="BW4229">
            <v>632</v>
          </cell>
        </row>
        <row r="4230">
          <cell r="L4230" t="str">
            <v>WA2601CB03BK</v>
          </cell>
          <cell r="BW4230">
            <v>1257</v>
          </cell>
        </row>
        <row r="4231">
          <cell r="L4231" t="str">
            <v>WA2601CB04BK</v>
          </cell>
          <cell r="BW4231">
            <v>1723</v>
          </cell>
        </row>
        <row r="4232">
          <cell r="L4232" t="str">
            <v>WA2601CB05BK</v>
          </cell>
          <cell r="BW4232">
            <v>846</v>
          </cell>
        </row>
        <row r="4233">
          <cell r="L4233" t="str">
            <v>WA2601CB06BK</v>
          </cell>
          <cell r="BW4233">
            <v>478</v>
          </cell>
        </row>
        <row r="4234">
          <cell r="L4234" t="str">
            <v>WA2601CB06GR</v>
          </cell>
          <cell r="BW4234">
            <v>290</v>
          </cell>
        </row>
        <row r="4235">
          <cell r="L4235" t="str">
            <v>WA2601CB07BK</v>
          </cell>
          <cell r="BW4235">
            <v>452</v>
          </cell>
        </row>
        <row r="4236">
          <cell r="L4236" t="str">
            <v>WA2601CB08BK</v>
          </cell>
          <cell r="BW4236">
            <v>420</v>
          </cell>
        </row>
        <row r="4237">
          <cell r="L4237" t="str">
            <v>WA2601CB08GR</v>
          </cell>
          <cell r="BW4237">
            <v>264</v>
          </cell>
        </row>
        <row r="4238">
          <cell r="L4238" t="str">
            <v>WA2601CB09BK</v>
          </cell>
          <cell r="BW4238">
            <v>566</v>
          </cell>
        </row>
        <row r="4239">
          <cell r="L4239" t="str">
            <v>WA2601CB10BK</v>
          </cell>
          <cell r="BW4239">
            <v>249</v>
          </cell>
        </row>
        <row r="4240">
          <cell r="L4240" t="str">
            <v>WA2601CB51BK</v>
          </cell>
          <cell r="BW4240">
            <v>206</v>
          </cell>
        </row>
        <row r="4241">
          <cell r="L4241" t="str">
            <v>WA2601CB51IN</v>
          </cell>
          <cell r="BW4241">
            <v>171</v>
          </cell>
        </row>
        <row r="4242">
          <cell r="L4242" t="str">
            <v>WA2601CB51PI</v>
          </cell>
          <cell r="BW4242">
            <v>225</v>
          </cell>
        </row>
        <row r="4243">
          <cell r="L4243" t="str">
            <v>WA2601CD01BK</v>
          </cell>
          <cell r="BW4243">
            <v>255</v>
          </cell>
        </row>
        <row r="4244">
          <cell r="L4244" t="str">
            <v>WA2601CD01BK</v>
          </cell>
          <cell r="BW4244">
            <v>264</v>
          </cell>
        </row>
        <row r="4245">
          <cell r="L4245" t="str">
            <v>WA2601CD01BK</v>
          </cell>
          <cell r="BW4245">
            <v>250</v>
          </cell>
        </row>
        <row r="4246">
          <cell r="L4246" t="str">
            <v>WA2601CD01BK</v>
          </cell>
          <cell r="BW4246">
            <v>160</v>
          </cell>
        </row>
        <row r="4247">
          <cell r="L4247" t="str">
            <v>WA2601CD01LG</v>
          </cell>
          <cell r="BW4247">
            <v>211</v>
          </cell>
        </row>
        <row r="4248">
          <cell r="L4248" t="str">
            <v>WA2601CD01LG</v>
          </cell>
          <cell r="BW4248">
            <v>238</v>
          </cell>
        </row>
        <row r="4249">
          <cell r="L4249" t="str">
            <v>WA2601CD01LG</v>
          </cell>
          <cell r="BW4249">
            <v>229</v>
          </cell>
        </row>
        <row r="4250">
          <cell r="L4250" t="str">
            <v>WA2601CD01LG</v>
          </cell>
          <cell r="BW4250">
            <v>70</v>
          </cell>
        </row>
        <row r="4251">
          <cell r="L4251" t="str">
            <v>WA2601CD01YE</v>
          </cell>
          <cell r="BW4251">
            <v>42</v>
          </cell>
        </row>
        <row r="4252">
          <cell r="L4252" t="str">
            <v>WA2601CD01YE</v>
          </cell>
          <cell r="BW4252">
            <v>30</v>
          </cell>
        </row>
        <row r="4253">
          <cell r="L4253" t="str">
            <v>WA2601CD01YE</v>
          </cell>
          <cell r="BW4253">
            <v>27</v>
          </cell>
        </row>
        <row r="4254">
          <cell r="L4254" t="str">
            <v>WA2601CD01YE</v>
          </cell>
          <cell r="BW4254">
            <v>19</v>
          </cell>
        </row>
        <row r="4255">
          <cell r="L4255" t="str">
            <v>WA2601CD11BK</v>
          </cell>
          <cell r="BW4255">
            <v>67</v>
          </cell>
        </row>
        <row r="4256">
          <cell r="L4256" t="str">
            <v>WA2601CD11BK</v>
          </cell>
          <cell r="BW4256">
            <v>84</v>
          </cell>
        </row>
        <row r="4257">
          <cell r="L4257" t="str">
            <v>WA2601CD11BK</v>
          </cell>
          <cell r="BW4257">
            <v>68</v>
          </cell>
        </row>
        <row r="4258">
          <cell r="L4258" t="str">
            <v>WA2601CD11BK</v>
          </cell>
          <cell r="BW4258">
            <v>36</v>
          </cell>
        </row>
        <row r="4259">
          <cell r="L4259" t="str">
            <v>WA2601CD11MI</v>
          </cell>
          <cell r="BW4259">
            <v>31</v>
          </cell>
        </row>
        <row r="4260">
          <cell r="L4260" t="str">
            <v>WA2601CD11MI</v>
          </cell>
          <cell r="BW4260">
            <v>36</v>
          </cell>
        </row>
        <row r="4261">
          <cell r="L4261" t="str">
            <v>WA2601CD11MI</v>
          </cell>
          <cell r="BW4261">
            <v>18</v>
          </cell>
        </row>
        <row r="4262">
          <cell r="L4262" t="str">
            <v>WA2601CD11MI</v>
          </cell>
          <cell r="BW4262">
            <v>30</v>
          </cell>
        </row>
        <row r="4263">
          <cell r="L4263" t="str">
            <v>WA2601CD12CM</v>
          </cell>
          <cell r="BW4263">
            <v>2</v>
          </cell>
        </row>
        <row r="4264">
          <cell r="L4264" t="str">
            <v>WA2601CD12CM</v>
          </cell>
          <cell r="BW4264">
            <v>-2</v>
          </cell>
        </row>
        <row r="4265">
          <cell r="L4265" t="str">
            <v>WA2601CD12CM</v>
          </cell>
          <cell r="BW4265">
            <v>-6</v>
          </cell>
        </row>
        <row r="4266">
          <cell r="L4266" t="str">
            <v>WA2601CD12CM</v>
          </cell>
          <cell r="BW4266">
            <v>9</v>
          </cell>
        </row>
        <row r="4267">
          <cell r="L4267" t="str">
            <v>WA2601CD51DN</v>
          </cell>
          <cell r="BW4267">
            <v>20</v>
          </cell>
        </row>
        <row r="4268">
          <cell r="L4268" t="str">
            <v>WA2601CD51DN</v>
          </cell>
          <cell r="BW4268">
            <v>134</v>
          </cell>
        </row>
        <row r="4269">
          <cell r="L4269" t="str">
            <v>WA2601CD51DN</v>
          </cell>
          <cell r="BW4269">
            <v>130</v>
          </cell>
        </row>
        <row r="4270">
          <cell r="L4270" t="str">
            <v>WA2601CD51LG</v>
          </cell>
          <cell r="BW4270">
            <v>103</v>
          </cell>
        </row>
        <row r="4271">
          <cell r="L4271" t="str">
            <v>WA2601CD51LG</v>
          </cell>
          <cell r="BW4271">
            <v>382</v>
          </cell>
        </row>
        <row r="4272">
          <cell r="L4272" t="str">
            <v>WA2601CD51LG</v>
          </cell>
          <cell r="BW4272">
            <v>322</v>
          </cell>
        </row>
        <row r="4273">
          <cell r="L4273" t="str">
            <v>WA2601CD51PI</v>
          </cell>
          <cell r="BW4273">
            <v>71</v>
          </cell>
        </row>
        <row r="4274">
          <cell r="L4274" t="str">
            <v>WA2601CD51PI</v>
          </cell>
          <cell r="BW4274">
            <v>127</v>
          </cell>
        </row>
        <row r="4275">
          <cell r="L4275" t="str">
            <v>WA2601CD51SB</v>
          </cell>
          <cell r="BW4275">
            <v>37</v>
          </cell>
        </row>
        <row r="4276">
          <cell r="L4276" t="str">
            <v>WA2601CD51SB</v>
          </cell>
          <cell r="BW4276">
            <v>130</v>
          </cell>
        </row>
        <row r="4277">
          <cell r="L4277" t="str">
            <v>WA2601CD51SB</v>
          </cell>
          <cell r="BW4277">
            <v>124</v>
          </cell>
        </row>
        <row r="4278">
          <cell r="L4278" t="str">
            <v>WA2601CD61CM</v>
          </cell>
          <cell r="BW4278">
            <v>28</v>
          </cell>
        </row>
        <row r="4279">
          <cell r="L4279" t="str">
            <v>WA2601CD61CM</v>
          </cell>
          <cell r="BW4279">
            <v>76</v>
          </cell>
        </row>
        <row r="4280">
          <cell r="L4280" t="str">
            <v>WA2601CD62GR</v>
          </cell>
          <cell r="BW4280">
            <v>82</v>
          </cell>
        </row>
        <row r="4281">
          <cell r="L4281" t="str">
            <v>WA2601CD62GR</v>
          </cell>
          <cell r="BW4281">
            <v>83</v>
          </cell>
        </row>
        <row r="4282">
          <cell r="L4282" t="str">
            <v>WA2601CD63CM</v>
          </cell>
          <cell r="BW4282">
            <v>89</v>
          </cell>
        </row>
        <row r="4283">
          <cell r="L4283" t="str">
            <v>WA2601CD63CM</v>
          </cell>
          <cell r="BW4283">
            <v>68</v>
          </cell>
        </row>
        <row r="4284">
          <cell r="L4284" t="str">
            <v>WA2601CD63RD</v>
          </cell>
          <cell r="BW4284">
            <v>34</v>
          </cell>
        </row>
        <row r="4285">
          <cell r="L4285" t="str">
            <v>WA2601CD63RD</v>
          </cell>
          <cell r="BW4285">
            <v>35</v>
          </cell>
        </row>
        <row r="4286">
          <cell r="L4286" t="str">
            <v>WA2601CD63SB</v>
          </cell>
          <cell r="BW4286">
            <v>35</v>
          </cell>
        </row>
        <row r="4287">
          <cell r="L4287" t="str">
            <v>WA2601CD63SB</v>
          </cell>
          <cell r="BW4287">
            <v>34</v>
          </cell>
        </row>
        <row r="4288">
          <cell r="L4288" t="str">
            <v>WA2601CD65LG</v>
          </cell>
          <cell r="BW4288">
            <v>163</v>
          </cell>
        </row>
        <row r="4289">
          <cell r="L4289" t="str">
            <v>WA2601CD65LG</v>
          </cell>
          <cell r="BW4289">
            <v>159</v>
          </cell>
        </row>
        <row r="4290">
          <cell r="L4290" t="str">
            <v>WA2601CD65NA</v>
          </cell>
          <cell r="BW4290">
            <v>130</v>
          </cell>
        </row>
        <row r="4291">
          <cell r="L4291" t="str">
            <v>WA2601CD65NA</v>
          </cell>
          <cell r="BW4291">
            <v>122</v>
          </cell>
        </row>
        <row r="4292">
          <cell r="L4292" t="str">
            <v>WA2601CD65TC</v>
          </cell>
          <cell r="BW4292">
            <v>164</v>
          </cell>
        </row>
        <row r="4293">
          <cell r="L4293" t="str">
            <v>WA2601CD65TC</v>
          </cell>
          <cell r="BW4293">
            <v>151</v>
          </cell>
        </row>
        <row r="4294">
          <cell r="L4294" t="str">
            <v>WA2601CD65WH</v>
          </cell>
          <cell r="BW4294">
            <v>55</v>
          </cell>
        </row>
        <row r="4295">
          <cell r="L4295" t="str">
            <v>WA2601CD65WH</v>
          </cell>
          <cell r="BW4295">
            <v>53</v>
          </cell>
        </row>
        <row r="4296">
          <cell r="L4296" t="str">
            <v>WA2601CR01BK</v>
          </cell>
          <cell r="BW4296">
            <v>245</v>
          </cell>
        </row>
        <row r="4297">
          <cell r="L4297" t="str">
            <v>WA2601CR01BK</v>
          </cell>
          <cell r="BW4297">
            <v>274</v>
          </cell>
        </row>
        <row r="4298">
          <cell r="L4298" t="str">
            <v>WA2601CR01BK</v>
          </cell>
          <cell r="BW4298">
            <v>316</v>
          </cell>
        </row>
        <row r="4299">
          <cell r="L4299" t="str">
            <v>WA2601CR01BK</v>
          </cell>
          <cell r="BW4299">
            <v>143</v>
          </cell>
        </row>
        <row r="4300">
          <cell r="L4300" t="str">
            <v>WA2601CR01BK</v>
          </cell>
          <cell r="BW4300">
            <v>47</v>
          </cell>
        </row>
        <row r="4301">
          <cell r="L4301" t="str">
            <v>WA2601CR01GR</v>
          </cell>
          <cell r="BW4301">
            <v>250</v>
          </cell>
        </row>
        <row r="4302">
          <cell r="L4302" t="str">
            <v>WA2601CR01GR</v>
          </cell>
          <cell r="BW4302">
            <v>322</v>
          </cell>
        </row>
        <row r="4303">
          <cell r="L4303" t="str">
            <v>WA2601CR01GR</v>
          </cell>
          <cell r="BW4303">
            <v>329</v>
          </cell>
        </row>
        <row r="4304">
          <cell r="L4304" t="str">
            <v>WA2601CR01GR</v>
          </cell>
          <cell r="BW4304">
            <v>156</v>
          </cell>
        </row>
        <row r="4305">
          <cell r="L4305" t="str">
            <v>WA2601CR01GR</v>
          </cell>
          <cell r="BW4305">
            <v>103</v>
          </cell>
        </row>
        <row r="4306">
          <cell r="L4306" t="str">
            <v>WA2601CR01LB</v>
          </cell>
          <cell r="BW4306">
            <v>200</v>
          </cell>
        </row>
        <row r="4307">
          <cell r="L4307" t="str">
            <v>WA2601CR01LB</v>
          </cell>
          <cell r="BW4307">
            <v>225</v>
          </cell>
        </row>
        <row r="4308">
          <cell r="L4308" t="str">
            <v>WA2601CR01LB</v>
          </cell>
          <cell r="BW4308">
            <v>223</v>
          </cell>
        </row>
        <row r="4309">
          <cell r="L4309" t="str">
            <v>WA2601CR01LB</v>
          </cell>
          <cell r="BW4309">
            <v>120</v>
          </cell>
        </row>
        <row r="4310">
          <cell r="L4310" t="str">
            <v>WA2601CR01LG</v>
          </cell>
          <cell r="BW4310">
            <v>282</v>
          </cell>
        </row>
        <row r="4311">
          <cell r="L4311" t="str">
            <v>WA2601CR01LG</v>
          </cell>
          <cell r="BW4311">
            <v>400</v>
          </cell>
        </row>
        <row r="4312">
          <cell r="L4312" t="str">
            <v>WA2601CR01LG</v>
          </cell>
          <cell r="BW4312">
            <v>469</v>
          </cell>
        </row>
        <row r="4313">
          <cell r="L4313" t="str">
            <v>WA2601CR01LG</v>
          </cell>
          <cell r="BW4313">
            <v>172</v>
          </cell>
        </row>
        <row r="4314">
          <cell r="L4314" t="str">
            <v>WA2601CR01LG</v>
          </cell>
          <cell r="BW4314">
            <v>96</v>
          </cell>
        </row>
        <row r="4315">
          <cell r="L4315" t="str">
            <v>WA2601CR01PI</v>
          </cell>
          <cell r="BW4315">
            <v>46</v>
          </cell>
        </row>
        <row r="4316">
          <cell r="L4316" t="str">
            <v>WA2601CR01PI</v>
          </cell>
          <cell r="BW4316">
            <v>49</v>
          </cell>
        </row>
        <row r="4317">
          <cell r="L4317" t="str">
            <v>WA2601CR01PI</v>
          </cell>
          <cell r="BW4317">
            <v>20</v>
          </cell>
        </row>
        <row r="4318">
          <cell r="L4318" t="str">
            <v>WA2601CR01PI</v>
          </cell>
          <cell r="BW4318">
            <v>31</v>
          </cell>
        </row>
        <row r="4319">
          <cell r="L4319" t="str">
            <v>WA2601CR01TC</v>
          </cell>
          <cell r="BW4319">
            <v>45</v>
          </cell>
        </row>
        <row r="4320">
          <cell r="L4320" t="str">
            <v>WA2601CR01TC</v>
          </cell>
          <cell r="BW4320">
            <v>63</v>
          </cell>
        </row>
        <row r="4321">
          <cell r="L4321" t="str">
            <v>WA2601CR01TC</v>
          </cell>
          <cell r="BW4321">
            <v>53</v>
          </cell>
        </row>
        <row r="4322">
          <cell r="L4322" t="str">
            <v>WA2601CR01TC</v>
          </cell>
          <cell r="BW4322">
            <v>35</v>
          </cell>
        </row>
        <row r="4323">
          <cell r="L4323" t="str">
            <v>WA2601CR11NA</v>
          </cell>
          <cell r="BW4323">
            <v>103</v>
          </cell>
        </row>
        <row r="4324">
          <cell r="L4324" t="str">
            <v>WA2601CR11NA</v>
          </cell>
          <cell r="BW4324">
            <v>121</v>
          </cell>
        </row>
        <row r="4325">
          <cell r="L4325" t="str">
            <v>WA2601CR11NA</v>
          </cell>
          <cell r="BW4325">
            <v>126</v>
          </cell>
        </row>
        <row r="4326">
          <cell r="L4326" t="str">
            <v>WA2601CR11NA</v>
          </cell>
          <cell r="BW4326">
            <v>72</v>
          </cell>
        </row>
        <row r="4327">
          <cell r="L4327" t="str">
            <v>WA2601CR11YE</v>
          </cell>
          <cell r="BW4327">
            <v>71</v>
          </cell>
        </row>
        <row r="4328">
          <cell r="L4328" t="str">
            <v>WA2601CR11YE</v>
          </cell>
          <cell r="BW4328">
            <v>74</v>
          </cell>
        </row>
        <row r="4329">
          <cell r="L4329" t="str">
            <v>WA2601CR11YE</v>
          </cell>
          <cell r="BW4329">
            <v>76</v>
          </cell>
        </row>
        <row r="4330">
          <cell r="L4330" t="str">
            <v>WA2601CR11YE</v>
          </cell>
          <cell r="BW4330">
            <v>47</v>
          </cell>
        </row>
        <row r="4331">
          <cell r="L4331" t="str">
            <v>WA2601CR12GR</v>
          </cell>
          <cell r="BW4331">
            <v>285</v>
          </cell>
        </row>
        <row r="4332">
          <cell r="L4332" t="str">
            <v>WA2601CR12GR</v>
          </cell>
          <cell r="BW4332">
            <v>294</v>
          </cell>
        </row>
        <row r="4333">
          <cell r="L4333" t="str">
            <v>WA2601CR12GR</v>
          </cell>
          <cell r="BW4333">
            <v>300</v>
          </cell>
        </row>
        <row r="4334">
          <cell r="L4334" t="str">
            <v>WA2601CR12GR</v>
          </cell>
          <cell r="BW4334">
            <v>175</v>
          </cell>
        </row>
        <row r="4335">
          <cell r="L4335" t="str">
            <v>WA2601CR12OG</v>
          </cell>
          <cell r="BW4335">
            <v>40</v>
          </cell>
        </row>
        <row r="4336">
          <cell r="L4336" t="str">
            <v>WA2601CR12OG</v>
          </cell>
          <cell r="BW4336">
            <v>42</v>
          </cell>
        </row>
        <row r="4337">
          <cell r="L4337" t="str">
            <v>WA2601CR12OG</v>
          </cell>
          <cell r="BW4337">
            <v>32</v>
          </cell>
        </row>
        <row r="4338">
          <cell r="L4338" t="str">
            <v>WA2601CR12OG</v>
          </cell>
          <cell r="BW4338">
            <v>26</v>
          </cell>
        </row>
        <row r="4339">
          <cell r="L4339" t="str">
            <v>WA2601CR13CH</v>
          </cell>
          <cell r="BW4339">
            <v>48</v>
          </cell>
        </row>
        <row r="4340">
          <cell r="L4340" t="str">
            <v>WA2601CR13CH</v>
          </cell>
          <cell r="BW4340">
            <v>75</v>
          </cell>
        </row>
        <row r="4341">
          <cell r="L4341" t="str">
            <v>WA2601CR13CH</v>
          </cell>
          <cell r="BW4341">
            <v>84</v>
          </cell>
        </row>
        <row r="4342">
          <cell r="L4342" t="str">
            <v>WA2601CR13CH</v>
          </cell>
          <cell r="BW4342">
            <v>56</v>
          </cell>
        </row>
        <row r="4343">
          <cell r="L4343" t="str">
            <v>WA2601CR13LG</v>
          </cell>
          <cell r="BW4343">
            <v>162</v>
          </cell>
        </row>
        <row r="4344">
          <cell r="L4344" t="str">
            <v>WA2601CR13LG</v>
          </cell>
          <cell r="BW4344">
            <v>175</v>
          </cell>
        </row>
        <row r="4345">
          <cell r="L4345" t="str">
            <v>WA2601CR13LG</v>
          </cell>
          <cell r="BW4345">
            <v>175</v>
          </cell>
        </row>
        <row r="4346">
          <cell r="L4346" t="str">
            <v>WA2601CR13LG</v>
          </cell>
          <cell r="BW4346">
            <v>128</v>
          </cell>
        </row>
        <row r="4347">
          <cell r="L4347" t="str">
            <v>WA2601CR14OT</v>
          </cell>
          <cell r="BW4347">
            <v>57</v>
          </cell>
        </row>
        <row r="4348">
          <cell r="L4348" t="str">
            <v>WA2601CR14OT</v>
          </cell>
          <cell r="BW4348">
            <v>61</v>
          </cell>
        </row>
        <row r="4349">
          <cell r="L4349" t="str">
            <v>WA2601CR14OT</v>
          </cell>
          <cell r="BW4349">
            <v>52</v>
          </cell>
        </row>
        <row r="4350">
          <cell r="L4350" t="str">
            <v>WA2601CR14OT</v>
          </cell>
          <cell r="BW4350">
            <v>49</v>
          </cell>
        </row>
        <row r="4351">
          <cell r="L4351" t="str">
            <v>WA2601CR15BK</v>
          </cell>
          <cell r="BW4351">
            <v>149</v>
          </cell>
        </row>
        <row r="4352">
          <cell r="L4352" t="str">
            <v>WA2601CR15BK</v>
          </cell>
          <cell r="BW4352">
            <v>189</v>
          </cell>
        </row>
        <row r="4353">
          <cell r="L4353" t="str">
            <v>WA2601CR15BK</v>
          </cell>
          <cell r="BW4353">
            <v>257</v>
          </cell>
        </row>
        <row r="4354">
          <cell r="L4354" t="str">
            <v>WA2601CR15BK</v>
          </cell>
          <cell r="BW4354">
            <v>86</v>
          </cell>
        </row>
        <row r="4355">
          <cell r="L4355" t="str">
            <v>WA2601CR15CM</v>
          </cell>
          <cell r="BW4355">
            <v>136</v>
          </cell>
        </row>
        <row r="4356">
          <cell r="L4356" t="str">
            <v>WA2601CR15CM</v>
          </cell>
          <cell r="BW4356">
            <v>108</v>
          </cell>
        </row>
        <row r="4357">
          <cell r="L4357" t="str">
            <v>WA2601CR15CM</v>
          </cell>
          <cell r="BW4357">
            <v>116</v>
          </cell>
        </row>
        <row r="4358">
          <cell r="L4358" t="str">
            <v>WA2601CR15CM</v>
          </cell>
          <cell r="BW4358">
            <v>103</v>
          </cell>
        </row>
        <row r="4359">
          <cell r="L4359" t="str">
            <v>WA2601CR16CH</v>
          </cell>
          <cell r="BW4359">
            <v>201</v>
          </cell>
        </row>
        <row r="4360">
          <cell r="L4360" t="str">
            <v>WA2601CR16CH</v>
          </cell>
          <cell r="BW4360">
            <v>207</v>
          </cell>
        </row>
        <row r="4361">
          <cell r="L4361" t="str">
            <v>WA2601CR16CH</v>
          </cell>
          <cell r="BW4361">
            <v>231</v>
          </cell>
        </row>
        <row r="4362">
          <cell r="L4362" t="str">
            <v>WA2601CR16CH</v>
          </cell>
          <cell r="BW4362">
            <v>145</v>
          </cell>
        </row>
        <row r="4363">
          <cell r="L4363" t="str">
            <v>WA2601CR16MI</v>
          </cell>
          <cell r="BW4363">
            <v>59</v>
          </cell>
        </row>
        <row r="4364">
          <cell r="L4364" t="str">
            <v>WA2601CR16MI</v>
          </cell>
          <cell r="BW4364">
            <v>63</v>
          </cell>
        </row>
        <row r="4365">
          <cell r="L4365" t="str">
            <v>WA2601CR16MI</v>
          </cell>
          <cell r="BW4365">
            <v>71</v>
          </cell>
        </row>
        <row r="4366">
          <cell r="L4366" t="str">
            <v>WA2601CR16MI</v>
          </cell>
          <cell r="BW4366">
            <v>46</v>
          </cell>
        </row>
        <row r="4367">
          <cell r="L4367" t="str">
            <v>WA2601CR17BK</v>
          </cell>
          <cell r="BW4367">
            <v>99</v>
          </cell>
        </row>
        <row r="4368">
          <cell r="L4368" t="str">
            <v>WA2601CR17BK</v>
          </cell>
          <cell r="BW4368">
            <v>110</v>
          </cell>
        </row>
        <row r="4369">
          <cell r="L4369" t="str">
            <v>WA2601CR17BK</v>
          </cell>
          <cell r="BW4369">
            <v>122</v>
          </cell>
        </row>
        <row r="4370">
          <cell r="L4370" t="str">
            <v>WA2601CR17BK</v>
          </cell>
          <cell r="BW4370">
            <v>57</v>
          </cell>
        </row>
        <row r="4371">
          <cell r="L4371" t="str">
            <v>WA2601CR17LB</v>
          </cell>
          <cell r="BW4371">
            <v>84</v>
          </cell>
        </row>
        <row r="4372">
          <cell r="L4372" t="str">
            <v>WA2601CR17LB</v>
          </cell>
          <cell r="BW4372">
            <v>87</v>
          </cell>
        </row>
        <row r="4373">
          <cell r="L4373" t="str">
            <v>WA2601CR17LB</v>
          </cell>
          <cell r="BW4373">
            <v>75</v>
          </cell>
        </row>
        <row r="4374">
          <cell r="L4374" t="str">
            <v>WA2601CR17LB</v>
          </cell>
          <cell r="BW4374">
            <v>60</v>
          </cell>
        </row>
        <row r="4375">
          <cell r="L4375" t="str">
            <v>WA2601CR18GN</v>
          </cell>
          <cell r="BW4375">
            <v>103</v>
          </cell>
        </row>
        <row r="4376">
          <cell r="L4376" t="str">
            <v>WA2601CR18GN</v>
          </cell>
          <cell r="BW4376">
            <v>108</v>
          </cell>
        </row>
        <row r="4377">
          <cell r="L4377" t="str">
            <v>WA2601CR18GN</v>
          </cell>
          <cell r="BW4377">
            <v>104</v>
          </cell>
        </row>
        <row r="4378">
          <cell r="L4378" t="str">
            <v>WA2601CR18GN</v>
          </cell>
          <cell r="BW4378">
            <v>74</v>
          </cell>
        </row>
        <row r="4379">
          <cell r="L4379" t="str">
            <v>WA2601CR18NA</v>
          </cell>
          <cell r="BW4379">
            <v>133</v>
          </cell>
        </row>
        <row r="4380">
          <cell r="L4380" t="str">
            <v>WA2601CR18NA</v>
          </cell>
          <cell r="BW4380">
            <v>141</v>
          </cell>
        </row>
        <row r="4381">
          <cell r="L4381" t="str">
            <v>WA2601CR18NA</v>
          </cell>
          <cell r="BW4381">
            <v>182</v>
          </cell>
        </row>
        <row r="4382">
          <cell r="L4382" t="str">
            <v>WA2601CR18NA</v>
          </cell>
          <cell r="BW4382">
            <v>87</v>
          </cell>
        </row>
        <row r="4383">
          <cell r="L4383" t="str">
            <v>WA2601CR51DN</v>
          </cell>
          <cell r="BW4383">
            <v>65</v>
          </cell>
        </row>
        <row r="4384">
          <cell r="L4384" t="str">
            <v>WA2601CR51DN</v>
          </cell>
          <cell r="BW4384">
            <v>204</v>
          </cell>
        </row>
        <row r="4385">
          <cell r="L4385" t="str">
            <v>WA2601CR51DN</v>
          </cell>
          <cell r="BW4385">
            <v>176</v>
          </cell>
        </row>
        <row r="4386">
          <cell r="L4386" t="str">
            <v>WA2601CR51LV</v>
          </cell>
          <cell r="BW4386">
            <v>48</v>
          </cell>
        </row>
        <row r="4387">
          <cell r="L4387" t="str">
            <v>WA2601CR51LV</v>
          </cell>
          <cell r="BW4387">
            <v>172</v>
          </cell>
        </row>
        <row r="4388">
          <cell r="L4388" t="str">
            <v>WA2601CR51LV</v>
          </cell>
          <cell r="BW4388">
            <v>153</v>
          </cell>
        </row>
        <row r="4389">
          <cell r="L4389" t="str">
            <v>WA2601CR51OT</v>
          </cell>
          <cell r="BW4389">
            <v>69</v>
          </cell>
        </row>
        <row r="4390">
          <cell r="L4390" t="str">
            <v>WA2601CR51OT</v>
          </cell>
          <cell r="BW4390">
            <v>195</v>
          </cell>
        </row>
        <row r="4391">
          <cell r="L4391" t="str">
            <v>WA2601CR51OT</v>
          </cell>
          <cell r="BW4391">
            <v>166</v>
          </cell>
        </row>
        <row r="4392">
          <cell r="L4392" t="str">
            <v>WA2601CR51PI</v>
          </cell>
          <cell r="BW4392">
            <v>41</v>
          </cell>
        </row>
        <row r="4393">
          <cell r="L4393" t="str">
            <v>WA2601CR51PI</v>
          </cell>
          <cell r="BW4393">
            <v>173</v>
          </cell>
        </row>
        <row r="4394">
          <cell r="L4394" t="str">
            <v>WA2601CR51PI</v>
          </cell>
          <cell r="BW4394">
            <v>200</v>
          </cell>
        </row>
        <row r="4395">
          <cell r="L4395" t="str">
            <v>WA2601CR51TC</v>
          </cell>
          <cell r="BW4395">
            <v>34</v>
          </cell>
        </row>
        <row r="4396">
          <cell r="L4396" t="str">
            <v>WA2601CR51TC</v>
          </cell>
          <cell r="BW4396">
            <v>54</v>
          </cell>
        </row>
        <row r="4397">
          <cell r="L4397" t="str">
            <v>WA2601CR53BR</v>
          </cell>
          <cell r="BW4397">
            <v>96</v>
          </cell>
        </row>
        <row r="4398">
          <cell r="L4398" t="str">
            <v>WA2601CR53BR</v>
          </cell>
          <cell r="BW4398">
            <v>85</v>
          </cell>
        </row>
        <row r="4399">
          <cell r="L4399" t="str">
            <v>WA2601CR53GR</v>
          </cell>
          <cell r="BW4399">
            <v>153</v>
          </cell>
        </row>
        <row r="4400">
          <cell r="L4400" t="str">
            <v>WA2601CR53GR</v>
          </cell>
          <cell r="BW4400">
            <v>143</v>
          </cell>
        </row>
        <row r="4401">
          <cell r="L4401" t="str">
            <v>WA2601CR53OT</v>
          </cell>
          <cell r="BW4401">
            <v>116</v>
          </cell>
        </row>
        <row r="4402">
          <cell r="L4402" t="str">
            <v>WA2601CR53OT</v>
          </cell>
          <cell r="BW4402">
            <v>125</v>
          </cell>
        </row>
        <row r="4403">
          <cell r="L4403" t="str">
            <v>WA2601CR61LP</v>
          </cell>
          <cell r="BW4403">
            <v>53</v>
          </cell>
        </row>
        <row r="4404">
          <cell r="L4404" t="str">
            <v>WA2601CR61LP</v>
          </cell>
          <cell r="BW4404">
            <v>75</v>
          </cell>
        </row>
        <row r="4405">
          <cell r="L4405" t="str">
            <v>WA2601CR61OT</v>
          </cell>
          <cell r="BW4405">
            <v>259</v>
          </cell>
        </row>
        <row r="4406">
          <cell r="L4406" t="str">
            <v>WA2601CR61OT</v>
          </cell>
          <cell r="BW4406">
            <v>277</v>
          </cell>
        </row>
        <row r="4407">
          <cell r="L4407" t="str">
            <v>WA2601CR61SB</v>
          </cell>
          <cell r="BW4407">
            <v>38</v>
          </cell>
        </row>
        <row r="4408">
          <cell r="L4408" t="str">
            <v>WA2601CR61SB</v>
          </cell>
          <cell r="BW4408">
            <v>62</v>
          </cell>
        </row>
        <row r="4409">
          <cell r="L4409" t="str">
            <v>WA2601CR62CH</v>
          </cell>
          <cell r="BW4409">
            <v>287</v>
          </cell>
        </row>
        <row r="4410">
          <cell r="L4410" t="str">
            <v>WA2601CR62CM</v>
          </cell>
          <cell r="BW4410">
            <v>359</v>
          </cell>
        </row>
        <row r="4411">
          <cell r="L4411" t="str">
            <v>WA2601CR63NA</v>
          </cell>
          <cell r="BW4411">
            <v>211</v>
          </cell>
        </row>
        <row r="4412">
          <cell r="L4412" t="str">
            <v>WA2601CR63OT</v>
          </cell>
          <cell r="BW4412">
            <v>352</v>
          </cell>
        </row>
        <row r="4413">
          <cell r="L4413" t="str">
            <v>WA2601CR81GN</v>
          </cell>
          <cell r="BW4413">
            <v>67</v>
          </cell>
        </row>
        <row r="4414">
          <cell r="L4414" t="str">
            <v>WA2601CR81GN</v>
          </cell>
          <cell r="BW4414">
            <v>37</v>
          </cell>
        </row>
        <row r="4415">
          <cell r="L4415" t="str">
            <v>WA2601CR81GN</v>
          </cell>
          <cell r="BW4415">
            <v>90</v>
          </cell>
        </row>
        <row r="4416">
          <cell r="L4416" t="str">
            <v>WA2601CR81NA</v>
          </cell>
          <cell r="BW4416">
            <v>103</v>
          </cell>
        </row>
        <row r="4417">
          <cell r="L4417" t="str">
            <v>WA2601CR81NA</v>
          </cell>
          <cell r="BW4417">
            <v>57</v>
          </cell>
        </row>
        <row r="4418">
          <cell r="L4418" t="str">
            <v>WA2601CR81NA</v>
          </cell>
          <cell r="BW4418">
            <v>138</v>
          </cell>
        </row>
        <row r="4419">
          <cell r="L4419" t="str">
            <v>WA2601CRC1LG</v>
          </cell>
          <cell r="BW4419">
            <v>0</v>
          </cell>
        </row>
        <row r="4420">
          <cell r="L4420" t="str">
            <v>WA2601CRC1LG</v>
          </cell>
          <cell r="BW4420">
            <v>0</v>
          </cell>
        </row>
        <row r="4421">
          <cell r="L4421" t="str">
            <v>WA2601CRC1LG</v>
          </cell>
          <cell r="BW4421">
            <v>0</v>
          </cell>
        </row>
        <row r="4422">
          <cell r="L4422" t="str">
            <v>WA2601CRC1LG</v>
          </cell>
          <cell r="BW4422">
            <v>0</v>
          </cell>
        </row>
        <row r="4423">
          <cell r="L4423" t="str">
            <v>WA2601CRC2CM</v>
          </cell>
          <cell r="BW4423">
            <v>0</v>
          </cell>
        </row>
        <row r="4424">
          <cell r="L4424" t="str">
            <v>WA2601CRC2CM</v>
          </cell>
          <cell r="BW4424">
            <v>0</v>
          </cell>
        </row>
        <row r="4425">
          <cell r="L4425" t="str">
            <v>WA2601CRC2CM</v>
          </cell>
          <cell r="BW4425">
            <v>0</v>
          </cell>
        </row>
        <row r="4426">
          <cell r="L4426" t="str">
            <v>WA2601CRC2CM</v>
          </cell>
          <cell r="BW4426">
            <v>0</v>
          </cell>
        </row>
        <row r="4427">
          <cell r="L4427" t="str">
            <v>WA2601EC01IN</v>
          </cell>
          <cell r="BW4427">
            <v>269</v>
          </cell>
        </row>
        <row r="4428">
          <cell r="L4428" t="str">
            <v>WA2601EC01IV</v>
          </cell>
          <cell r="BW4428">
            <v>448</v>
          </cell>
        </row>
        <row r="4429">
          <cell r="L4429" t="str">
            <v>WA2601EC02BE</v>
          </cell>
          <cell r="BW4429">
            <v>276</v>
          </cell>
        </row>
        <row r="4430">
          <cell r="L4430" t="str">
            <v>WA2601EC02NA</v>
          </cell>
          <cell r="BW4430">
            <v>407</v>
          </cell>
        </row>
        <row r="4431">
          <cell r="L4431" t="str">
            <v>WA2601EC02PI</v>
          </cell>
          <cell r="BW4431">
            <v>270</v>
          </cell>
        </row>
        <row r="4432">
          <cell r="L4432" t="str">
            <v>WA2601EC03NA</v>
          </cell>
          <cell r="BW4432">
            <v>430</v>
          </cell>
        </row>
        <row r="4433">
          <cell r="L4433" t="str">
            <v>WA2601EC03YE</v>
          </cell>
          <cell r="BW4433">
            <v>378</v>
          </cell>
        </row>
        <row r="4434">
          <cell r="L4434" t="str">
            <v>WA2601EC04NA</v>
          </cell>
          <cell r="BW4434">
            <v>434</v>
          </cell>
        </row>
        <row r="4435">
          <cell r="L4435" t="str">
            <v>WA2601EC04YE</v>
          </cell>
          <cell r="BW4435">
            <v>415</v>
          </cell>
        </row>
        <row r="4436">
          <cell r="L4436" t="str">
            <v>WA2601HD01BK</v>
          </cell>
          <cell r="BW4436">
            <v>264</v>
          </cell>
        </row>
        <row r="4437">
          <cell r="L4437" t="str">
            <v>WA2601HD01BK</v>
          </cell>
          <cell r="BW4437">
            <v>288</v>
          </cell>
        </row>
        <row r="4438">
          <cell r="L4438" t="str">
            <v>WA2601HD01BK</v>
          </cell>
          <cell r="BW4438">
            <v>269</v>
          </cell>
        </row>
        <row r="4439">
          <cell r="L4439" t="str">
            <v>WA2601HD01BK</v>
          </cell>
          <cell r="BW4439">
            <v>164</v>
          </cell>
        </row>
        <row r="4440">
          <cell r="L4440" t="str">
            <v>WA2601HD01LB</v>
          </cell>
          <cell r="BW4440">
            <v>44</v>
          </cell>
        </row>
        <row r="4441">
          <cell r="L4441" t="str">
            <v>WA2601HD01LB</v>
          </cell>
          <cell r="BW4441">
            <v>71</v>
          </cell>
        </row>
        <row r="4442">
          <cell r="L4442" t="str">
            <v>WA2601HD01LB</v>
          </cell>
          <cell r="BW4442">
            <v>57</v>
          </cell>
        </row>
        <row r="4443">
          <cell r="L4443" t="str">
            <v>WA2601HD01LB</v>
          </cell>
          <cell r="BW4443">
            <v>41</v>
          </cell>
        </row>
        <row r="4444">
          <cell r="L4444" t="str">
            <v>WA2601HD01LG</v>
          </cell>
          <cell r="BW4444">
            <v>294</v>
          </cell>
        </row>
        <row r="4445">
          <cell r="L4445" t="str">
            <v>WA2601HD01LG</v>
          </cell>
          <cell r="BW4445">
            <v>359</v>
          </cell>
        </row>
        <row r="4446">
          <cell r="L4446" t="str">
            <v>WA2601HD01LG</v>
          </cell>
          <cell r="BW4446">
            <v>359</v>
          </cell>
        </row>
        <row r="4447">
          <cell r="L4447" t="str">
            <v>WA2601HD01LG</v>
          </cell>
          <cell r="BW4447">
            <v>216</v>
          </cell>
        </row>
        <row r="4448">
          <cell r="L4448" t="str">
            <v>WA2601HD01LN</v>
          </cell>
          <cell r="BW4448">
            <v>79</v>
          </cell>
        </row>
        <row r="4449">
          <cell r="L4449" t="str">
            <v>WA2601HD01LN</v>
          </cell>
          <cell r="BW4449">
            <v>137</v>
          </cell>
        </row>
        <row r="4450">
          <cell r="L4450" t="str">
            <v>WA2601HD01LN</v>
          </cell>
          <cell r="BW4450">
            <v>110</v>
          </cell>
        </row>
        <row r="4451">
          <cell r="L4451" t="str">
            <v>WA2601HD01LN</v>
          </cell>
          <cell r="BW4451">
            <v>70</v>
          </cell>
        </row>
        <row r="4452">
          <cell r="L4452" t="str">
            <v>WA2601HD01RD</v>
          </cell>
          <cell r="BW4452">
            <v>38</v>
          </cell>
        </row>
        <row r="4453">
          <cell r="L4453" t="str">
            <v>WA2601HD01RD</v>
          </cell>
          <cell r="BW4453">
            <v>47</v>
          </cell>
        </row>
        <row r="4454">
          <cell r="L4454" t="str">
            <v>WA2601HD01RD</v>
          </cell>
          <cell r="BW4454">
            <v>32</v>
          </cell>
        </row>
        <row r="4455">
          <cell r="L4455" t="str">
            <v>WA2601HD01RD</v>
          </cell>
          <cell r="BW4455">
            <v>26</v>
          </cell>
        </row>
        <row r="4456">
          <cell r="L4456" t="str">
            <v>WA2601HD11GR</v>
          </cell>
          <cell r="BW4456">
            <v>262</v>
          </cell>
        </row>
        <row r="4457">
          <cell r="L4457" t="str">
            <v>WA2601HD11GR</v>
          </cell>
          <cell r="BW4457">
            <v>304</v>
          </cell>
        </row>
        <row r="4458">
          <cell r="L4458" t="str">
            <v>WA2601HD11GR</v>
          </cell>
          <cell r="BW4458">
            <v>294</v>
          </cell>
        </row>
        <row r="4459">
          <cell r="L4459" t="str">
            <v>WA2601HD11GR</v>
          </cell>
          <cell r="BW4459">
            <v>189</v>
          </cell>
        </row>
        <row r="4460">
          <cell r="L4460" t="str">
            <v>WA2601HD11RG</v>
          </cell>
          <cell r="BW4460">
            <v>113</v>
          </cell>
        </row>
        <row r="4461">
          <cell r="L4461" t="str">
            <v>WA2601HD11RG</v>
          </cell>
          <cell r="BW4461">
            <v>122</v>
          </cell>
        </row>
        <row r="4462">
          <cell r="L4462" t="str">
            <v>WA2601HD11RG</v>
          </cell>
          <cell r="BW4462">
            <v>109</v>
          </cell>
        </row>
        <row r="4463">
          <cell r="L4463" t="str">
            <v>WA2601HD11RG</v>
          </cell>
          <cell r="BW4463">
            <v>77</v>
          </cell>
        </row>
        <row r="4464">
          <cell r="L4464" t="str">
            <v>WA2601HD12DN</v>
          </cell>
          <cell r="BW4464">
            <v>180</v>
          </cell>
        </row>
        <row r="4465">
          <cell r="L4465" t="str">
            <v>WA2601HD12DN</v>
          </cell>
          <cell r="BW4465">
            <v>206</v>
          </cell>
        </row>
        <row r="4466">
          <cell r="L4466" t="str">
            <v>WA2601HD12DN</v>
          </cell>
          <cell r="BW4466">
            <v>200</v>
          </cell>
        </row>
        <row r="4467">
          <cell r="L4467" t="str">
            <v>WA2601HD12DN</v>
          </cell>
          <cell r="BW4467">
            <v>119</v>
          </cell>
        </row>
        <row r="4468">
          <cell r="L4468" t="str">
            <v>WA2601HD12PI</v>
          </cell>
          <cell r="BW4468">
            <v>39</v>
          </cell>
        </row>
        <row r="4469">
          <cell r="L4469" t="str">
            <v>WA2601HD12PI</v>
          </cell>
          <cell r="BW4469">
            <v>64</v>
          </cell>
        </row>
        <row r="4470">
          <cell r="L4470" t="str">
            <v>WA2601HD12PI</v>
          </cell>
          <cell r="BW4470">
            <v>64</v>
          </cell>
        </row>
        <row r="4471">
          <cell r="L4471" t="str">
            <v>WA2601HD12PI</v>
          </cell>
          <cell r="BW4471">
            <v>45</v>
          </cell>
        </row>
        <row r="4472">
          <cell r="L4472" t="str">
            <v>WA2601HD13LG</v>
          </cell>
          <cell r="BW4472">
            <v>84</v>
          </cell>
        </row>
        <row r="4473">
          <cell r="L4473" t="str">
            <v>WA2601HD13LG</v>
          </cell>
          <cell r="BW4473">
            <v>56</v>
          </cell>
        </row>
        <row r="4474">
          <cell r="L4474" t="str">
            <v>WA2601HD13LG</v>
          </cell>
          <cell r="BW4474">
            <v>65</v>
          </cell>
        </row>
        <row r="4475">
          <cell r="L4475" t="str">
            <v>WA2601HD13LG</v>
          </cell>
          <cell r="BW4475">
            <v>67</v>
          </cell>
        </row>
        <row r="4476">
          <cell r="L4476" t="str">
            <v>WA2601HD14BK</v>
          </cell>
          <cell r="BW4476">
            <v>120</v>
          </cell>
        </row>
        <row r="4477">
          <cell r="L4477" t="str">
            <v>WA2601HD14BK</v>
          </cell>
          <cell r="BW4477">
            <v>133</v>
          </cell>
        </row>
        <row r="4478">
          <cell r="L4478" t="str">
            <v>WA2601HD14BK</v>
          </cell>
          <cell r="BW4478">
            <v>168</v>
          </cell>
        </row>
        <row r="4479">
          <cell r="L4479" t="str">
            <v>WA2601HD14BK</v>
          </cell>
          <cell r="BW4479">
            <v>77</v>
          </cell>
        </row>
        <row r="4480">
          <cell r="L4480" t="str">
            <v>WA2601HD14LG</v>
          </cell>
          <cell r="BW4480">
            <v>122</v>
          </cell>
        </row>
        <row r="4481">
          <cell r="L4481" t="str">
            <v>WA2601HD14LG</v>
          </cell>
          <cell r="BW4481">
            <v>151</v>
          </cell>
        </row>
        <row r="4482">
          <cell r="L4482" t="str">
            <v>WA2601HD14LG</v>
          </cell>
          <cell r="BW4482">
            <v>126</v>
          </cell>
        </row>
        <row r="4483">
          <cell r="L4483" t="str">
            <v>WA2601HD14LG</v>
          </cell>
          <cell r="BW4483">
            <v>93</v>
          </cell>
        </row>
        <row r="4484">
          <cell r="L4484" t="str">
            <v>WA2601HD51CM</v>
          </cell>
          <cell r="BW4484">
            <v>71</v>
          </cell>
        </row>
        <row r="4485">
          <cell r="L4485" t="str">
            <v>WA2601HD51CM</v>
          </cell>
          <cell r="BW4485">
            <v>228</v>
          </cell>
        </row>
        <row r="4486">
          <cell r="L4486" t="str">
            <v>WA2601HD51CM</v>
          </cell>
          <cell r="BW4486">
            <v>232</v>
          </cell>
        </row>
        <row r="4487">
          <cell r="L4487" t="str">
            <v>WA2601HD51DN</v>
          </cell>
          <cell r="BW4487">
            <v>57</v>
          </cell>
        </row>
        <row r="4488">
          <cell r="L4488" t="str">
            <v>WA2601HD51DN</v>
          </cell>
          <cell r="BW4488">
            <v>191</v>
          </cell>
        </row>
        <row r="4489">
          <cell r="L4489" t="str">
            <v>WA2601HD51DN</v>
          </cell>
          <cell r="BW4489">
            <v>166</v>
          </cell>
        </row>
        <row r="4490">
          <cell r="L4490" t="str">
            <v>WA2601HD51GR</v>
          </cell>
          <cell r="BW4490">
            <v>87</v>
          </cell>
        </row>
        <row r="4491">
          <cell r="L4491" t="str">
            <v>WA2601HD51GR</v>
          </cell>
          <cell r="BW4491">
            <v>274</v>
          </cell>
        </row>
        <row r="4492">
          <cell r="L4492" t="str">
            <v>WA2601HD51GR</v>
          </cell>
          <cell r="BW4492">
            <v>216</v>
          </cell>
        </row>
        <row r="4493">
          <cell r="L4493" t="str">
            <v>WA2601HD51PI</v>
          </cell>
          <cell r="BW4493">
            <v>34</v>
          </cell>
        </row>
        <row r="4494">
          <cell r="L4494" t="str">
            <v>WA2601HD51PI</v>
          </cell>
          <cell r="BW4494">
            <v>166</v>
          </cell>
        </row>
        <row r="4495">
          <cell r="L4495" t="str">
            <v>WA2601HD51PI</v>
          </cell>
          <cell r="BW4495">
            <v>160</v>
          </cell>
        </row>
        <row r="4496">
          <cell r="L4496" t="str">
            <v>WA2601HD51TC</v>
          </cell>
          <cell r="BW4496">
            <v>55</v>
          </cell>
        </row>
        <row r="4497">
          <cell r="L4497" t="str">
            <v>WA2601HD51TC</v>
          </cell>
          <cell r="BW4497">
            <v>72</v>
          </cell>
        </row>
        <row r="4498">
          <cell r="L4498" t="str">
            <v>WA2601HD61CH</v>
          </cell>
          <cell r="BW4498">
            <v>162</v>
          </cell>
        </row>
        <row r="4499">
          <cell r="L4499" t="str">
            <v>WA2601HD61CH</v>
          </cell>
          <cell r="BW4499">
            <v>172</v>
          </cell>
        </row>
        <row r="4500">
          <cell r="L4500" t="str">
            <v>WA2601HD61CM</v>
          </cell>
          <cell r="BW4500">
            <v>183</v>
          </cell>
        </row>
        <row r="4501">
          <cell r="L4501" t="str">
            <v>WA2601HD61CM</v>
          </cell>
          <cell r="BW4501">
            <v>240</v>
          </cell>
        </row>
        <row r="4502">
          <cell r="L4502" t="str">
            <v>WA2601HD62BE</v>
          </cell>
          <cell r="BW4502">
            <v>379</v>
          </cell>
        </row>
        <row r="4503">
          <cell r="L4503" t="str">
            <v>WA2601HD62BR</v>
          </cell>
          <cell r="BW4503">
            <v>244</v>
          </cell>
        </row>
        <row r="4504">
          <cell r="L4504" t="str">
            <v>WA2601HD63GR</v>
          </cell>
          <cell r="BW4504">
            <v>262</v>
          </cell>
        </row>
        <row r="4505">
          <cell r="L4505" t="str">
            <v>WA2601HD63LI</v>
          </cell>
          <cell r="BW4505">
            <v>242</v>
          </cell>
        </row>
        <row r="4506">
          <cell r="L4506" t="str">
            <v>WA2601HZ01BK</v>
          </cell>
          <cell r="BW4506">
            <v>506</v>
          </cell>
        </row>
        <row r="4507">
          <cell r="L4507" t="str">
            <v>WA2601HZ01BK</v>
          </cell>
          <cell r="BW4507">
            <v>588</v>
          </cell>
        </row>
        <row r="4508">
          <cell r="L4508" t="str">
            <v>WA2601HZ01BK</v>
          </cell>
          <cell r="BW4508">
            <v>530</v>
          </cell>
        </row>
        <row r="4509">
          <cell r="L4509" t="str">
            <v>WA2601HZ01BK</v>
          </cell>
          <cell r="BW4509">
            <v>297</v>
          </cell>
        </row>
        <row r="4510">
          <cell r="L4510" t="str">
            <v>WA2601HZ01BK</v>
          </cell>
          <cell r="BW4510">
            <v>142</v>
          </cell>
        </row>
        <row r="4511">
          <cell r="L4511" t="str">
            <v>WA2601HZ01BR</v>
          </cell>
          <cell r="BW4511">
            <v>97</v>
          </cell>
        </row>
        <row r="4512">
          <cell r="L4512" t="str">
            <v>WA2601HZ01BR</v>
          </cell>
          <cell r="BW4512">
            <v>106</v>
          </cell>
        </row>
        <row r="4513">
          <cell r="L4513" t="str">
            <v>WA2601HZ01BR</v>
          </cell>
          <cell r="BW4513">
            <v>110</v>
          </cell>
        </row>
        <row r="4514">
          <cell r="L4514" t="str">
            <v>WA2601HZ01BR</v>
          </cell>
          <cell r="BW4514">
            <v>61</v>
          </cell>
        </row>
        <row r="4515">
          <cell r="L4515" t="str">
            <v>WA2601HZ01GR</v>
          </cell>
          <cell r="BW4515">
            <v>686</v>
          </cell>
        </row>
        <row r="4516">
          <cell r="L4516" t="str">
            <v>WA2601HZ01GR</v>
          </cell>
          <cell r="BW4516">
            <v>896</v>
          </cell>
        </row>
        <row r="4517">
          <cell r="L4517" t="str">
            <v>WA2601HZ01GR</v>
          </cell>
          <cell r="BW4517">
            <v>976</v>
          </cell>
        </row>
        <row r="4518">
          <cell r="L4518" t="str">
            <v>WA2601HZ01GR</v>
          </cell>
          <cell r="BW4518">
            <v>468</v>
          </cell>
        </row>
        <row r="4519">
          <cell r="L4519" t="str">
            <v>WA2601HZ01GR</v>
          </cell>
          <cell r="BW4519">
            <v>239</v>
          </cell>
        </row>
        <row r="4520">
          <cell r="L4520" t="str">
            <v>WA2601HZ01LN</v>
          </cell>
          <cell r="BW4520">
            <v>175</v>
          </cell>
        </row>
        <row r="4521">
          <cell r="L4521" t="str">
            <v>WA2601HZ01LN</v>
          </cell>
          <cell r="BW4521">
            <v>184</v>
          </cell>
        </row>
        <row r="4522">
          <cell r="L4522" t="str">
            <v>WA2601HZ01LN</v>
          </cell>
          <cell r="BW4522">
            <v>165</v>
          </cell>
        </row>
        <row r="4523">
          <cell r="L4523" t="str">
            <v>WA2601HZ01LN</v>
          </cell>
          <cell r="BW4523">
            <v>127</v>
          </cell>
        </row>
        <row r="4524">
          <cell r="L4524" t="str">
            <v>WA2601HZ01OT</v>
          </cell>
          <cell r="BW4524">
            <v>364</v>
          </cell>
        </row>
        <row r="4525">
          <cell r="L4525" t="str">
            <v>WA2601HZ01OT</v>
          </cell>
          <cell r="BW4525">
            <v>536</v>
          </cell>
        </row>
        <row r="4526">
          <cell r="L4526" t="str">
            <v>WA2601HZ01OT</v>
          </cell>
          <cell r="BW4526">
            <v>609</v>
          </cell>
        </row>
        <row r="4527">
          <cell r="L4527" t="str">
            <v>WA2601HZ01OT</v>
          </cell>
          <cell r="BW4527">
            <v>203</v>
          </cell>
        </row>
        <row r="4528">
          <cell r="L4528" t="str">
            <v>WA2601HZ01OT</v>
          </cell>
          <cell r="BW4528">
            <v>162</v>
          </cell>
        </row>
        <row r="4529">
          <cell r="L4529" t="str">
            <v>WA2601HZ01TC</v>
          </cell>
          <cell r="BW4529">
            <v>38</v>
          </cell>
        </row>
        <row r="4530">
          <cell r="L4530" t="str">
            <v>WA2601HZ01TC</v>
          </cell>
          <cell r="BW4530">
            <v>48</v>
          </cell>
        </row>
        <row r="4531">
          <cell r="L4531" t="str">
            <v>WA2601HZ01TC</v>
          </cell>
          <cell r="BW4531">
            <v>48</v>
          </cell>
        </row>
        <row r="4532">
          <cell r="L4532" t="str">
            <v>WA2601HZ01TC</v>
          </cell>
          <cell r="BW4532">
            <v>36</v>
          </cell>
        </row>
        <row r="4533">
          <cell r="L4533" t="str">
            <v>WA2601HZ08CH</v>
          </cell>
          <cell r="BW4533">
            <v>79</v>
          </cell>
        </row>
        <row r="4534">
          <cell r="L4534" t="str">
            <v>WA2601HZ08CH</v>
          </cell>
          <cell r="BW4534">
            <v>79</v>
          </cell>
        </row>
        <row r="4535">
          <cell r="L4535" t="str">
            <v>WA2601HZ08CH</v>
          </cell>
          <cell r="BW4535">
            <v>80</v>
          </cell>
        </row>
        <row r="4536">
          <cell r="L4536" t="str">
            <v>WA2601HZ08CH</v>
          </cell>
          <cell r="BW4536">
            <v>55</v>
          </cell>
        </row>
        <row r="4537">
          <cell r="L4537" t="str">
            <v>WA2601HZ08PU</v>
          </cell>
          <cell r="BW4537">
            <v>36</v>
          </cell>
        </row>
        <row r="4538">
          <cell r="L4538" t="str">
            <v>WA2601HZ08PU</v>
          </cell>
          <cell r="BW4538">
            <v>64</v>
          </cell>
        </row>
        <row r="4539">
          <cell r="L4539" t="str">
            <v>WA2601HZ08YL</v>
          </cell>
          <cell r="BW4539">
            <v>35</v>
          </cell>
        </row>
        <row r="4540">
          <cell r="L4540" t="str">
            <v>WA2601HZ08YL</v>
          </cell>
          <cell r="BW4540">
            <v>58</v>
          </cell>
        </row>
        <row r="4541">
          <cell r="L4541" t="str">
            <v>WA2601HZ11DN</v>
          </cell>
          <cell r="BW4541">
            <v>135</v>
          </cell>
        </row>
        <row r="4542">
          <cell r="L4542" t="str">
            <v>WA2601HZ11DN</v>
          </cell>
          <cell r="BW4542">
            <v>124</v>
          </cell>
        </row>
        <row r="4543">
          <cell r="L4543" t="str">
            <v>WA2601HZ11DN</v>
          </cell>
          <cell r="BW4543">
            <v>132</v>
          </cell>
        </row>
        <row r="4544">
          <cell r="L4544" t="str">
            <v>WA2601HZ11DN</v>
          </cell>
          <cell r="BW4544">
            <v>100</v>
          </cell>
        </row>
        <row r="4545">
          <cell r="L4545" t="str">
            <v>WA2601HZ11LG</v>
          </cell>
          <cell r="BW4545">
            <v>294</v>
          </cell>
        </row>
        <row r="4546">
          <cell r="L4546" t="str">
            <v>WA2601HZ11LG</v>
          </cell>
          <cell r="BW4546">
            <v>261</v>
          </cell>
        </row>
        <row r="4547">
          <cell r="L4547" t="str">
            <v>WA2601HZ11LG</v>
          </cell>
          <cell r="BW4547">
            <v>249</v>
          </cell>
        </row>
        <row r="4548">
          <cell r="L4548" t="str">
            <v>WA2601HZ11LG</v>
          </cell>
          <cell r="BW4548">
            <v>194</v>
          </cell>
        </row>
        <row r="4549">
          <cell r="L4549" t="str">
            <v>WA2601HZ11LP</v>
          </cell>
          <cell r="BW4549">
            <v>49</v>
          </cell>
        </row>
        <row r="4550">
          <cell r="L4550" t="str">
            <v>WA2601HZ11LP</v>
          </cell>
          <cell r="BW4550">
            <v>82</v>
          </cell>
        </row>
        <row r="4551">
          <cell r="L4551" t="str">
            <v>WA2601HZ11LP</v>
          </cell>
          <cell r="BW4551">
            <v>58</v>
          </cell>
        </row>
        <row r="4552">
          <cell r="L4552" t="str">
            <v>WA2601HZ11LP</v>
          </cell>
          <cell r="BW4552">
            <v>27</v>
          </cell>
        </row>
        <row r="4553">
          <cell r="L4553" t="str">
            <v>WA2601HZ12BK</v>
          </cell>
          <cell r="BW4553">
            <v>170</v>
          </cell>
        </row>
        <row r="4554">
          <cell r="L4554" t="str">
            <v>WA2601HZ12BK</v>
          </cell>
          <cell r="BW4554">
            <v>212</v>
          </cell>
        </row>
        <row r="4555">
          <cell r="L4555" t="str">
            <v>WA2601HZ12BK</v>
          </cell>
          <cell r="BW4555">
            <v>180</v>
          </cell>
        </row>
        <row r="4556">
          <cell r="L4556" t="str">
            <v>WA2601HZ12BK</v>
          </cell>
          <cell r="BW4556">
            <v>77</v>
          </cell>
        </row>
        <row r="4557">
          <cell r="L4557" t="str">
            <v>WA2601HZ12GR</v>
          </cell>
          <cell r="BW4557">
            <v>299</v>
          </cell>
        </row>
        <row r="4558">
          <cell r="L4558" t="str">
            <v>WA2601HZ12GR</v>
          </cell>
          <cell r="BW4558">
            <v>388</v>
          </cell>
        </row>
        <row r="4559">
          <cell r="L4559" t="str">
            <v>WA2601HZ12GR</v>
          </cell>
          <cell r="BW4559">
            <v>409</v>
          </cell>
        </row>
        <row r="4560">
          <cell r="L4560" t="str">
            <v>WA2601HZ12GR</v>
          </cell>
          <cell r="BW4560">
            <v>160</v>
          </cell>
        </row>
        <row r="4561">
          <cell r="L4561" t="str">
            <v>WA2601HZ13BK</v>
          </cell>
          <cell r="BW4561">
            <v>282</v>
          </cell>
        </row>
        <row r="4562">
          <cell r="L4562" t="str">
            <v>WA2601HZ13BK</v>
          </cell>
          <cell r="BW4562">
            <v>340</v>
          </cell>
        </row>
        <row r="4563">
          <cell r="L4563" t="str">
            <v>WA2601HZ13BK</v>
          </cell>
          <cell r="BW4563">
            <v>355</v>
          </cell>
        </row>
        <row r="4564">
          <cell r="L4564" t="str">
            <v>WA2601HZ13BK</v>
          </cell>
          <cell r="BW4564">
            <v>113</v>
          </cell>
        </row>
        <row r="4565">
          <cell r="L4565" t="str">
            <v>WA2601HZ13GR</v>
          </cell>
          <cell r="BW4565">
            <v>135</v>
          </cell>
        </row>
        <row r="4566">
          <cell r="L4566" t="str">
            <v>WA2601HZ13GR</v>
          </cell>
          <cell r="BW4566">
            <v>188</v>
          </cell>
        </row>
        <row r="4567">
          <cell r="L4567" t="str">
            <v>WA2601HZ13GR</v>
          </cell>
          <cell r="BW4567">
            <v>254</v>
          </cell>
        </row>
        <row r="4568">
          <cell r="L4568" t="str">
            <v>WA2601HZ13GR</v>
          </cell>
          <cell r="BW4568">
            <v>100</v>
          </cell>
        </row>
        <row r="4569">
          <cell r="L4569" t="str">
            <v>WA2601HZ14CH</v>
          </cell>
          <cell r="BW4569">
            <v>153</v>
          </cell>
        </row>
        <row r="4570">
          <cell r="L4570" t="str">
            <v>WA2601HZ14CH</v>
          </cell>
          <cell r="BW4570">
            <v>168</v>
          </cell>
        </row>
        <row r="4571">
          <cell r="L4571" t="str">
            <v>WA2601HZ14CH</v>
          </cell>
          <cell r="BW4571">
            <v>155</v>
          </cell>
        </row>
        <row r="4572">
          <cell r="L4572" t="str">
            <v>WA2601HZ14CH</v>
          </cell>
          <cell r="BW4572">
            <v>107</v>
          </cell>
        </row>
        <row r="4573">
          <cell r="L4573" t="str">
            <v>WA2601HZ14LI</v>
          </cell>
          <cell r="BW4573">
            <v>67</v>
          </cell>
        </row>
        <row r="4574">
          <cell r="L4574" t="str">
            <v>WA2601HZ14LI</v>
          </cell>
          <cell r="BW4574">
            <v>88</v>
          </cell>
        </row>
        <row r="4575">
          <cell r="L4575" t="str">
            <v>WA2601HZ14LI</v>
          </cell>
          <cell r="BW4575">
            <v>82</v>
          </cell>
        </row>
        <row r="4576">
          <cell r="L4576" t="str">
            <v>WA2601HZ14LI</v>
          </cell>
          <cell r="BW4576">
            <v>38</v>
          </cell>
        </row>
        <row r="4577">
          <cell r="L4577" t="str">
            <v>WA2601HZ15BK</v>
          </cell>
          <cell r="BW4577">
            <v>111</v>
          </cell>
        </row>
        <row r="4578">
          <cell r="L4578" t="str">
            <v>WA2601HZ15BK</v>
          </cell>
          <cell r="BW4578">
            <v>171</v>
          </cell>
        </row>
        <row r="4579">
          <cell r="L4579" t="str">
            <v>WA2601HZ15BK</v>
          </cell>
          <cell r="BW4579">
            <v>146</v>
          </cell>
        </row>
        <row r="4580">
          <cell r="L4580" t="str">
            <v>WA2601HZ15BK</v>
          </cell>
          <cell r="BW4580">
            <v>64</v>
          </cell>
        </row>
        <row r="4581">
          <cell r="L4581" t="str">
            <v>WA2601HZ16CM</v>
          </cell>
          <cell r="BW4581">
            <v>51</v>
          </cell>
        </row>
        <row r="4582">
          <cell r="L4582" t="str">
            <v>WA2601HZ16CM</v>
          </cell>
          <cell r="BW4582">
            <v>19</v>
          </cell>
        </row>
        <row r="4583">
          <cell r="L4583" t="str">
            <v>WA2601HZ16CM</v>
          </cell>
          <cell r="BW4583">
            <v>26</v>
          </cell>
        </row>
        <row r="4584">
          <cell r="L4584" t="str">
            <v>WA2601HZ16CM</v>
          </cell>
          <cell r="BW4584">
            <v>71</v>
          </cell>
        </row>
        <row r="4585">
          <cell r="L4585" t="str">
            <v>WA2601HZ16MI</v>
          </cell>
          <cell r="BW4585">
            <v>41</v>
          </cell>
        </row>
        <row r="4586">
          <cell r="L4586" t="str">
            <v>WA2601HZ16MI</v>
          </cell>
          <cell r="BW4586">
            <v>64</v>
          </cell>
        </row>
        <row r="4587">
          <cell r="L4587" t="str">
            <v>WA2601HZ16MI</v>
          </cell>
          <cell r="BW4587">
            <v>48</v>
          </cell>
        </row>
        <row r="4588">
          <cell r="L4588" t="str">
            <v>WA2601HZ16MI</v>
          </cell>
          <cell r="BW4588">
            <v>43</v>
          </cell>
        </row>
        <row r="4589">
          <cell r="L4589" t="str">
            <v>WA2601HZ17BR</v>
          </cell>
          <cell r="BW4589">
            <v>56</v>
          </cell>
        </row>
        <row r="4590">
          <cell r="L4590" t="str">
            <v>WA2601HZ17BR</v>
          </cell>
          <cell r="BW4590">
            <v>60</v>
          </cell>
        </row>
        <row r="4591">
          <cell r="L4591" t="str">
            <v>WA2601HZ17BR</v>
          </cell>
          <cell r="BW4591">
            <v>51</v>
          </cell>
        </row>
        <row r="4592">
          <cell r="L4592" t="str">
            <v>WA2601HZ17BR</v>
          </cell>
          <cell r="BW4592">
            <v>57</v>
          </cell>
        </row>
        <row r="4593">
          <cell r="L4593" t="str">
            <v>WA2601HZ17GR</v>
          </cell>
          <cell r="BW4593">
            <v>114</v>
          </cell>
        </row>
        <row r="4594">
          <cell r="L4594" t="str">
            <v>WA2601HZ17GR</v>
          </cell>
          <cell r="BW4594">
            <v>122</v>
          </cell>
        </row>
        <row r="4595">
          <cell r="L4595" t="str">
            <v>WA2601HZ17GR</v>
          </cell>
          <cell r="BW4595">
            <v>107</v>
          </cell>
        </row>
        <row r="4596">
          <cell r="L4596" t="str">
            <v>WA2601HZ17GR</v>
          </cell>
          <cell r="BW4596">
            <v>88</v>
          </cell>
        </row>
        <row r="4597">
          <cell r="L4597" t="str">
            <v>WA2601HZ18NA</v>
          </cell>
          <cell r="BW4597">
            <v>91</v>
          </cell>
        </row>
        <row r="4598">
          <cell r="L4598" t="str">
            <v>WA2601HZ18NA</v>
          </cell>
          <cell r="BW4598">
            <v>93</v>
          </cell>
        </row>
        <row r="4599">
          <cell r="L4599" t="str">
            <v>WA2601HZ18NA</v>
          </cell>
          <cell r="BW4599">
            <v>154</v>
          </cell>
        </row>
        <row r="4600">
          <cell r="L4600" t="str">
            <v>WA2601HZ18NA</v>
          </cell>
          <cell r="BW4600">
            <v>62</v>
          </cell>
        </row>
        <row r="4601">
          <cell r="L4601" t="str">
            <v>WA2601HZ18YE</v>
          </cell>
          <cell r="BW4601">
            <v>73</v>
          </cell>
        </row>
        <row r="4602">
          <cell r="L4602" t="str">
            <v>WA2601HZ18YE</v>
          </cell>
          <cell r="BW4602">
            <v>90</v>
          </cell>
        </row>
        <row r="4603">
          <cell r="L4603" t="str">
            <v>WA2601HZ18YE</v>
          </cell>
          <cell r="BW4603">
            <v>82</v>
          </cell>
        </row>
        <row r="4604">
          <cell r="L4604" t="str">
            <v>WA2601HZ18YE</v>
          </cell>
          <cell r="BW4604">
            <v>50</v>
          </cell>
        </row>
        <row r="4605">
          <cell r="L4605" t="str">
            <v>WA2601HZ51DN</v>
          </cell>
          <cell r="BW4605">
            <v>157</v>
          </cell>
        </row>
        <row r="4606">
          <cell r="L4606" t="str">
            <v>WA2601HZ51DN</v>
          </cell>
          <cell r="BW4606">
            <v>422</v>
          </cell>
        </row>
        <row r="4607">
          <cell r="L4607" t="str">
            <v>WA2601HZ51DN</v>
          </cell>
          <cell r="BW4607">
            <v>349</v>
          </cell>
        </row>
        <row r="4608">
          <cell r="L4608" t="str">
            <v>WA2601HZ51LG</v>
          </cell>
          <cell r="BW4608">
            <v>223</v>
          </cell>
        </row>
        <row r="4609">
          <cell r="L4609" t="str">
            <v>WA2601HZ51LG</v>
          </cell>
          <cell r="BW4609">
            <v>569</v>
          </cell>
        </row>
        <row r="4610">
          <cell r="L4610" t="str">
            <v>WA2601HZ51LG</v>
          </cell>
          <cell r="BW4610">
            <v>415</v>
          </cell>
        </row>
        <row r="4611">
          <cell r="L4611" t="str">
            <v>WA2601HZ51PI</v>
          </cell>
          <cell r="BW4611">
            <v>108</v>
          </cell>
        </row>
        <row r="4612">
          <cell r="L4612" t="str">
            <v>WA2601HZ51PI</v>
          </cell>
          <cell r="BW4612">
            <v>352</v>
          </cell>
        </row>
        <row r="4613">
          <cell r="L4613" t="str">
            <v>WA2601HZ51PI</v>
          </cell>
          <cell r="BW4613">
            <v>323</v>
          </cell>
        </row>
        <row r="4614">
          <cell r="L4614" t="str">
            <v>WA2601HZ51SB</v>
          </cell>
          <cell r="BW4614">
            <v>75</v>
          </cell>
        </row>
        <row r="4615">
          <cell r="L4615" t="str">
            <v>WA2601HZ51SB</v>
          </cell>
          <cell r="BW4615">
            <v>234</v>
          </cell>
        </row>
        <row r="4616">
          <cell r="L4616" t="str">
            <v>WA2601HZ51SB</v>
          </cell>
          <cell r="BW4616">
            <v>192</v>
          </cell>
        </row>
        <row r="4617">
          <cell r="L4617" t="str">
            <v>WA2601HZ51TC</v>
          </cell>
          <cell r="BW4617">
            <v>26</v>
          </cell>
        </row>
        <row r="4618">
          <cell r="L4618" t="str">
            <v>WA2601HZ51TC</v>
          </cell>
          <cell r="BW4618">
            <v>27</v>
          </cell>
        </row>
        <row r="4619">
          <cell r="L4619" t="str">
            <v>WA2601HZ52BL</v>
          </cell>
          <cell r="BW4619">
            <v>19</v>
          </cell>
        </row>
        <row r="4620">
          <cell r="L4620" t="str">
            <v>WA2601HZ52BL</v>
          </cell>
          <cell r="BW4620">
            <v>133</v>
          </cell>
        </row>
        <row r="4621">
          <cell r="L4621" t="str">
            <v>WA2601HZ52BL</v>
          </cell>
          <cell r="BW4621">
            <v>208</v>
          </cell>
        </row>
        <row r="4622">
          <cell r="L4622" t="str">
            <v>WA2601HZ52DG</v>
          </cell>
          <cell r="BW4622">
            <v>29</v>
          </cell>
        </row>
        <row r="4623">
          <cell r="L4623" t="str">
            <v>WA2601HZ52DG</v>
          </cell>
          <cell r="BW4623">
            <v>141</v>
          </cell>
        </row>
        <row r="4624">
          <cell r="L4624" t="str">
            <v>WA2601HZ52DG</v>
          </cell>
          <cell r="BW4624">
            <v>281</v>
          </cell>
        </row>
        <row r="4625">
          <cell r="L4625" t="str">
            <v>WA2601HZ61LG</v>
          </cell>
          <cell r="BW4625">
            <v>299</v>
          </cell>
        </row>
        <row r="4626">
          <cell r="L4626" t="str">
            <v>WA2601HZ61PI</v>
          </cell>
          <cell r="BW4626">
            <v>198</v>
          </cell>
        </row>
        <row r="4627">
          <cell r="L4627" t="str">
            <v>WA2601HZ62NA</v>
          </cell>
          <cell r="BW4627">
            <v>297</v>
          </cell>
        </row>
        <row r="4628">
          <cell r="L4628" t="str">
            <v>WA2601HZ62OT</v>
          </cell>
          <cell r="BW4628">
            <v>100</v>
          </cell>
        </row>
        <row r="4629">
          <cell r="L4629" t="str">
            <v>WA2601HZ63CM</v>
          </cell>
          <cell r="BW4629">
            <v>46</v>
          </cell>
        </row>
        <row r="4630">
          <cell r="L4630" t="str">
            <v>WA2601HZ63CM</v>
          </cell>
          <cell r="BW4630">
            <v>107</v>
          </cell>
        </row>
        <row r="4631">
          <cell r="L4631" t="str">
            <v>WA2601HZ64DG</v>
          </cell>
          <cell r="BW4631">
            <v>127</v>
          </cell>
        </row>
        <row r="4632">
          <cell r="L4632" t="str">
            <v>WA2601HZ81BK</v>
          </cell>
          <cell r="BW4632">
            <v>46</v>
          </cell>
        </row>
        <row r="4633">
          <cell r="L4633" t="str">
            <v>WA2601HZ81BK</v>
          </cell>
          <cell r="BW4633">
            <v>51</v>
          </cell>
        </row>
        <row r="4634">
          <cell r="L4634" t="str">
            <v>WA2601HZ81BK</v>
          </cell>
          <cell r="BW4634">
            <v>80</v>
          </cell>
        </row>
        <row r="4635">
          <cell r="L4635" t="str">
            <v>WA2601HZ81GR</v>
          </cell>
          <cell r="BW4635">
            <v>64</v>
          </cell>
        </row>
        <row r="4636">
          <cell r="L4636" t="str">
            <v>WA2601HZ81GR</v>
          </cell>
          <cell r="BW4636">
            <v>73</v>
          </cell>
        </row>
        <row r="4637">
          <cell r="L4637" t="str">
            <v>WA2601HZ81GR</v>
          </cell>
          <cell r="BW4637">
            <v>148</v>
          </cell>
        </row>
        <row r="4638">
          <cell r="L4638" t="str">
            <v>WA2601HZ81TC</v>
          </cell>
          <cell r="BW4638">
            <v>23</v>
          </cell>
        </row>
        <row r="4639">
          <cell r="L4639" t="str">
            <v>WA2601HZ81TC</v>
          </cell>
          <cell r="BW4639">
            <v>32</v>
          </cell>
        </row>
        <row r="4640">
          <cell r="L4640" t="str">
            <v>WA2601HZ81TC</v>
          </cell>
          <cell r="BW4640">
            <v>60</v>
          </cell>
        </row>
        <row r="4641">
          <cell r="L4641" t="str">
            <v>WA2601HZ82LG</v>
          </cell>
          <cell r="BW4641">
            <v>40</v>
          </cell>
        </row>
        <row r="4642">
          <cell r="L4642" t="str">
            <v>WA2601HZ82LG</v>
          </cell>
          <cell r="BW4642">
            <v>44</v>
          </cell>
        </row>
        <row r="4643">
          <cell r="L4643" t="str">
            <v>WA2601HZ82LG</v>
          </cell>
          <cell r="BW4643">
            <v>96</v>
          </cell>
        </row>
        <row r="4644">
          <cell r="L4644" t="str">
            <v>WA2601HZO1BK</v>
          </cell>
          <cell r="BW4644">
            <v>404</v>
          </cell>
        </row>
        <row r="4645">
          <cell r="L4645" t="str">
            <v>WA2601HZO1BK</v>
          </cell>
          <cell r="BW4645">
            <v>438</v>
          </cell>
        </row>
        <row r="4646">
          <cell r="L4646" t="str">
            <v>WA2601HZO1BK</v>
          </cell>
          <cell r="BW4646">
            <v>290</v>
          </cell>
        </row>
        <row r="4647">
          <cell r="L4647" t="str">
            <v>WA2601HZO1BK</v>
          </cell>
          <cell r="BW4647">
            <v>265</v>
          </cell>
        </row>
        <row r="4648">
          <cell r="L4648" t="str">
            <v>WA2601HZO1BK</v>
          </cell>
          <cell r="BW4648">
            <v>104</v>
          </cell>
        </row>
        <row r="4649">
          <cell r="L4649" t="str">
            <v>WA2601HZO1GR</v>
          </cell>
          <cell r="BW4649">
            <v>406</v>
          </cell>
        </row>
        <row r="4650">
          <cell r="L4650" t="str">
            <v>WA2601HZO1GR</v>
          </cell>
          <cell r="BW4650">
            <v>577</v>
          </cell>
        </row>
        <row r="4651">
          <cell r="L4651" t="str">
            <v>WA2601HZO1GR</v>
          </cell>
          <cell r="BW4651">
            <v>632</v>
          </cell>
        </row>
        <row r="4652">
          <cell r="L4652" t="str">
            <v>WA2601HZO1GR</v>
          </cell>
          <cell r="BW4652">
            <v>238</v>
          </cell>
        </row>
        <row r="4653">
          <cell r="L4653" t="str">
            <v>WA2601HZO1GR</v>
          </cell>
          <cell r="BW4653">
            <v>150</v>
          </cell>
        </row>
        <row r="4654">
          <cell r="L4654" t="str">
            <v>WA2601JK01BK</v>
          </cell>
          <cell r="BW4654">
            <v>287</v>
          </cell>
        </row>
        <row r="4655">
          <cell r="L4655" t="str">
            <v>WA2601JK01BK</v>
          </cell>
          <cell r="BW4655">
            <v>337</v>
          </cell>
        </row>
        <row r="4656">
          <cell r="L4656" t="str">
            <v>WA2601JK01BK</v>
          </cell>
          <cell r="BW4656">
            <v>291</v>
          </cell>
        </row>
        <row r="4657">
          <cell r="L4657" t="str">
            <v>WA2601JK01BK</v>
          </cell>
          <cell r="BW4657">
            <v>140</v>
          </cell>
        </row>
        <row r="4658">
          <cell r="L4658" t="str">
            <v>WA2601JK01CM</v>
          </cell>
          <cell r="BW4658">
            <v>153</v>
          </cell>
        </row>
        <row r="4659">
          <cell r="L4659" t="str">
            <v>WA2601JK01CM</v>
          </cell>
          <cell r="BW4659">
            <v>243</v>
          </cell>
        </row>
        <row r="4660">
          <cell r="L4660" t="str">
            <v>WA2601JK01CM</v>
          </cell>
          <cell r="BW4660">
            <v>222</v>
          </cell>
        </row>
        <row r="4661">
          <cell r="L4661" t="str">
            <v>WA2601JK01CM</v>
          </cell>
          <cell r="BW4661">
            <v>82</v>
          </cell>
        </row>
        <row r="4662">
          <cell r="L4662" t="str">
            <v>WA2601JK01LG</v>
          </cell>
          <cell r="BW4662">
            <v>32</v>
          </cell>
        </row>
        <row r="4663">
          <cell r="L4663" t="str">
            <v>WA2601JK01LG</v>
          </cell>
          <cell r="BW4663">
            <v>57</v>
          </cell>
        </row>
        <row r="4664">
          <cell r="L4664" t="str">
            <v>WA2601JK01LG</v>
          </cell>
          <cell r="BW4664">
            <v>44</v>
          </cell>
        </row>
        <row r="4665">
          <cell r="L4665" t="str">
            <v>WA2601JK01LG</v>
          </cell>
          <cell r="BW4665">
            <v>40</v>
          </cell>
        </row>
        <row r="4666">
          <cell r="L4666" t="str">
            <v>WA2601JK01LY</v>
          </cell>
          <cell r="BW4666">
            <v>80</v>
          </cell>
        </row>
        <row r="4667">
          <cell r="L4667" t="str">
            <v>WA2601JK01LY</v>
          </cell>
          <cell r="BW4667">
            <v>149</v>
          </cell>
        </row>
        <row r="4668">
          <cell r="L4668" t="str">
            <v>WA2601JK01LY</v>
          </cell>
          <cell r="BW4668">
            <v>87</v>
          </cell>
        </row>
        <row r="4669">
          <cell r="L4669" t="str">
            <v>WA2601JK01LY</v>
          </cell>
          <cell r="BW4669">
            <v>76</v>
          </cell>
        </row>
        <row r="4670">
          <cell r="L4670" t="str">
            <v>WA2601JK01TC</v>
          </cell>
          <cell r="BW4670">
            <v>33</v>
          </cell>
        </row>
        <row r="4671">
          <cell r="L4671" t="str">
            <v>WA2601JK01TC</v>
          </cell>
          <cell r="BW4671">
            <v>41</v>
          </cell>
        </row>
        <row r="4672">
          <cell r="L4672" t="str">
            <v>WA2601JK01TC</v>
          </cell>
          <cell r="BW4672">
            <v>33</v>
          </cell>
        </row>
        <row r="4673">
          <cell r="L4673" t="str">
            <v>WA2601JK12BK</v>
          </cell>
          <cell r="BW4673">
            <v>220</v>
          </cell>
        </row>
        <row r="4674">
          <cell r="L4674" t="str">
            <v>WA2601JK12BK</v>
          </cell>
          <cell r="BW4674">
            <v>240</v>
          </cell>
        </row>
        <row r="4675">
          <cell r="L4675" t="str">
            <v>WA2601JK12BK</v>
          </cell>
          <cell r="BW4675">
            <v>110</v>
          </cell>
        </row>
        <row r="4676">
          <cell r="L4676" t="str">
            <v>WA2601JK12BK</v>
          </cell>
          <cell r="BW4676">
            <v>240</v>
          </cell>
        </row>
        <row r="4677">
          <cell r="L4677" t="str">
            <v>WA2601JK12LY</v>
          </cell>
          <cell r="BW4677">
            <v>112</v>
          </cell>
        </row>
        <row r="4678">
          <cell r="L4678" t="str">
            <v>WA2601JK12LY</v>
          </cell>
          <cell r="BW4678">
            <v>87</v>
          </cell>
        </row>
        <row r="4679">
          <cell r="L4679" t="str">
            <v>WA2601JK12LY</v>
          </cell>
          <cell r="BW4679">
            <v>26</v>
          </cell>
        </row>
        <row r="4680">
          <cell r="L4680" t="str">
            <v>WA2601JK12LY</v>
          </cell>
          <cell r="BW4680">
            <v>98</v>
          </cell>
        </row>
        <row r="4681">
          <cell r="L4681" t="str">
            <v>WA2601JK13CM</v>
          </cell>
          <cell r="BW4681">
            <v>54</v>
          </cell>
        </row>
        <row r="4682">
          <cell r="L4682" t="str">
            <v>WA2601JK13CM</v>
          </cell>
          <cell r="BW4682">
            <v>60</v>
          </cell>
        </row>
        <row r="4683">
          <cell r="L4683" t="str">
            <v>WA2601JK13CM</v>
          </cell>
          <cell r="BW4683">
            <v>47</v>
          </cell>
        </row>
        <row r="4684">
          <cell r="L4684" t="str">
            <v>WA2601JK13CM</v>
          </cell>
          <cell r="BW4684">
            <v>31</v>
          </cell>
        </row>
        <row r="4685">
          <cell r="L4685" t="str">
            <v>WA2601JK13NA</v>
          </cell>
          <cell r="BW4685">
            <v>92</v>
          </cell>
        </row>
        <row r="4686">
          <cell r="L4686" t="str">
            <v>WA2601JK13NA</v>
          </cell>
          <cell r="BW4686">
            <v>118</v>
          </cell>
        </row>
        <row r="4687">
          <cell r="L4687" t="str">
            <v>WA2601JK13NA</v>
          </cell>
          <cell r="BW4687">
            <v>86</v>
          </cell>
        </row>
        <row r="4688">
          <cell r="L4688" t="str">
            <v>WA2601JK13NA</v>
          </cell>
          <cell r="BW4688">
            <v>47</v>
          </cell>
        </row>
        <row r="4689">
          <cell r="L4689" t="str">
            <v>WA2601JK31BK</v>
          </cell>
          <cell r="BW4689">
            <v>43</v>
          </cell>
        </row>
        <row r="4690">
          <cell r="L4690" t="str">
            <v>WA2601JK31BK</v>
          </cell>
          <cell r="BW4690">
            <v>43</v>
          </cell>
        </row>
        <row r="4691">
          <cell r="L4691" t="str">
            <v>WA2601JK31BK</v>
          </cell>
          <cell r="BW4691">
            <v>31</v>
          </cell>
        </row>
        <row r="4692">
          <cell r="L4692" t="str">
            <v>WA2601JK31BK</v>
          </cell>
          <cell r="BW4692">
            <v>40</v>
          </cell>
        </row>
        <row r="4693">
          <cell r="L4693" t="str">
            <v>WA2601JK31BL</v>
          </cell>
          <cell r="BW4693">
            <v>16</v>
          </cell>
        </row>
        <row r="4694">
          <cell r="L4694" t="str">
            <v>WA2601JK31BL</v>
          </cell>
          <cell r="BW4694">
            <v>16</v>
          </cell>
        </row>
        <row r="4695">
          <cell r="L4695" t="str">
            <v>WA2601JK31BL</v>
          </cell>
          <cell r="BW4695">
            <v>24</v>
          </cell>
        </row>
        <row r="4696">
          <cell r="L4696" t="str">
            <v>WA2601JK31BL</v>
          </cell>
          <cell r="BW4696">
            <v>24</v>
          </cell>
        </row>
        <row r="4697">
          <cell r="L4697" t="str">
            <v>WA2601JK32CH</v>
          </cell>
          <cell r="BW4697">
            <v>74</v>
          </cell>
        </row>
        <row r="4698">
          <cell r="L4698" t="str">
            <v>WA2601JK32CH</v>
          </cell>
          <cell r="BW4698">
            <v>83</v>
          </cell>
        </row>
        <row r="4699">
          <cell r="L4699" t="str">
            <v>WA2601JK32CH</v>
          </cell>
          <cell r="BW4699">
            <v>72</v>
          </cell>
        </row>
        <row r="4700">
          <cell r="L4700" t="str">
            <v>WA2601JK32CH</v>
          </cell>
          <cell r="BW4700">
            <v>42</v>
          </cell>
        </row>
        <row r="4701">
          <cell r="L4701" t="str">
            <v>WA2601JK32PI</v>
          </cell>
          <cell r="BW4701">
            <v>54</v>
          </cell>
        </row>
        <row r="4702">
          <cell r="L4702" t="str">
            <v>WA2601JK32PI</v>
          </cell>
          <cell r="BW4702">
            <v>59</v>
          </cell>
        </row>
        <row r="4703">
          <cell r="L4703" t="str">
            <v>WA2601JK32PI</v>
          </cell>
          <cell r="BW4703">
            <v>41</v>
          </cell>
        </row>
        <row r="4704">
          <cell r="L4704" t="str">
            <v>WA2601JK32PI</v>
          </cell>
          <cell r="BW4704">
            <v>27</v>
          </cell>
        </row>
        <row r="4705">
          <cell r="L4705" t="str">
            <v>WA2601JK61LG</v>
          </cell>
          <cell r="BW4705">
            <v>13</v>
          </cell>
        </row>
        <row r="4706">
          <cell r="L4706" t="str">
            <v>WA2601JK61LG</v>
          </cell>
          <cell r="BW4706">
            <v>4</v>
          </cell>
        </row>
        <row r="4707">
          <cell r="L4707" t="str">
            <v>WA2601JK61WH</v>
          </cell>
          <cell r="BW4707">
            <v>25</v>
          </cell>
        </row>
        <row r="4708">
          <cell r="L4708" t="str">
            <v>WA2601JK61WH</v>
          </cell>
          <cell r="BW4708">
            <v>24</v>
          </cell>
        </row>
        <row r="4709">
          <cell r="L4709" t="str">
            <v>WA2601JK62CM</v>
          </cell>
          <cell r="BW4709">
            <v>16</v>
          </cell>
        </row>
        <row r="4710">
          <cell r="L4710" t="str">
            <v>WA2601JK62CM</v>
          </cell>
          <cell r="BW4710">
            <v>83</v>
          </cell>
        </row>
        <row r="4711">
          <cell r="L4711" t="str">
            <v>WA2601JK62SB</v>
          </cell>
          <cell r="BW4711">
            <v>26</v>
          </cell>
        </row>
        <row r="4712">
          <cell r="L4712" t="str">
            <v>WA2601JK62SB</v>
          </cell>
          <cell r="BW4712">
            <v>72</v>
          </cell>
        </row>
        <row r="4713">
          <cell r="L4713" t="str">
            <v>WA2601JK62TC</v>
          </cell>
          <cell r="BW4713">
            <v>7</v>
          </cell>
        </row>
        <row r="4714">
          <cell r="L4714" t="str">
            <v>WA2601JK62TC</v>
          </cell>
          <cell r="BW4714">
            <v>6</v>
          </cell>
        </row>
        <row r="4715">
          <cell r="L4715" t="str">
            <v>WA2601JK64BE</v>
          </cell>
          <cell r="BW4715">
            <v>290</v>
          </cell>
        </row>
        <row r="4716">
          <cell r="L4716" t="str">
            <v>WA2601JK65BK</v>
          </cell>
          <cell r="BW4716">
            <v>39</v>
          </cell>
        </row>
        <row r="4717">
          <cell r="L4717" t="str">
            <v>WA2601JK66BR</v>
          </cell>
          <cell r="BW4717">
            <v>148</v>
          </cell>
        </row>
        <row r="4718">
          <cell r="L4718" t="str">
            <v>WA2601JK75BL</v>
          </cell>
          <cell r="BW4718">
            <v>284</v>
          </cell>
        </row>
        <row r="4719">
          <cell r="L4719" t="str">
            <v>WA2601JK75CM</v>
          </cell>
          <cell r="BW4719">
            <v>208</v>
          </cell>
        </row>
        <row r="4720">
          <cell r="L4720" t="str">
            <v>WA2601KT11CH</v>
          </cell>
          <cell r="BW4720">
            <v>49</v>
          </cell>
        </row>
        <row r="4721">
          <cell r="L4721" t="str">
            <v>WA2601KT11CH</v>
          </cell>
          <cell r="BW4721">
            <v>60</v>
          </cell>
        </row>
        <row r="4722">
          <cell r="L4722" t="str">
            <v>WA2601KT11CH</v>
          </cell>
          <cell r="BW4722">
            <v>51</v>
          </cell>
        </row>
        <row r="4723">
          <cell r="L4723" t="str">
            <v>WA2601KT11CH</v>
          </cell>
          <cell r="BW4723">
            <v>40</v>
          </cell>
        </row>
        <row r="4724">
          <cell r="L4724" t="str">
            <v>WA2601KT11CM</v>
          </cell>
          <cell r="BW4724">
            <v>37</v>
          </cell>
        </row>
        <row r="4725">
          <cell r="L4725" t="str">
            <v>WA2601KT11CM</v>
          </cell>
          <cell r="BW4725">
            <v>42</v>
          </cell>
        </row>
        <row r="4726">
          <cell r="L4726" t="str">
            <v>WA2601KT11CM</v>
          </cell>
          <cell r="BW4726">
            <v>19</v>
          </cell>
        </row>
        <row r="4727">
          <cell r="L4727" t="str">
            <v>WA2601KT11CM</v>
          </cell>
          <cell r="BW4727">
            <v>33</v>
          </cell>
        </row>
        <row r="4728">
          <cell r="L4728" t="str">
            <v>WA2601KT12BL</v>
          </cell>
          <cell r="BW4728">
            <v>27</v>
          </cell>
        </row>
        <row r="4729">
          <cell r="L4729" t="str">
            <v>WA2601KT12BL</v>
          </cell>
          <cell r="BW4729">
            <v>21</v>
          </cell>
        </row>
        <row r="4730">
          <cell r="L4730" t="str">
            <v>WA2601KT12BL</v>
          </cell>
          <cell r="BW4730">
            <v>8</v>
          </cell>
        </row>
        <row r="4731">
          <cell r="L4731" t="str">
            <v>WA2601KT12BL</v>
          </cell>
          <cell r="BW4731">
            <v>26</v>
          </cell>
        </row>
        <row r="4732">
          <cell r="L4732" t="str">
            <v>WA2601KT71CM</v>
          </cell>
          <cell r="BW4732">
            <v>353</v>
          </cell>
        </row>
        <row r="4733">
          <cell r="L4733" t="str">
            <v>WA2601KT72CM</v>
          </cell>
          <cell r="BW4733">
            <v>271</v>
          </cell>
        </row>
        <row r="4734">
          <cell r="L4734" t="str">
            <v>WA2601KT73CM</v>
          </cell>
          <cell r="BW4734">
            <v>318</v>
          </cell>
        </row>
        <row r="4735">
          <cell r="L4735" t="str">
            <v>WA2601KT74BR</v>
          </cell>
          <cell r="BW4735">
            <v>135</v>
          </cell>
        </row>
        <row r="4736">
          <cell r="L4736" t="str">
            <v>WA2601KT75CM</v>
          </cell>
          <cell r="BW4736">
            <v>164</v>
          </cell>
        </row>
        <row r="4737">
          <cell r="L4737" t="str">
            <v>WA2601LT01TC</v>
          </cell>
          <cell r="BW4737">
            <v>66</v>
          </cell>
        </row>
        <row r="4738">
          <cell r="L4738" t="str">
            <v>WA2601LT01TC</v>
          </cell>
          <cell r="BW4738">
            <v>83</v>
          </cell>
        </row>
        <row r="4739">
          <cell r="L4739" t="str">
            <v>WA2601LT01TC</v>
          </cell>
          <cell r="BW4739">
            <v>95</v>
          </cell>
        </row>
        <row r="4740">
          <cell r="L4740" t="str">
            <v>WA2601LT01TC</v>
          </cell>
          <cell r="BW4740">
            <v>39</v>
          </cell>
        </row>
        <row r="4741">
          <cell r="L4741" t="str">
            <v>WA2601LT11BK</v>
          </cell>
          <cell r="BW4741">
            <v>37</v>
          </cell>
        </row>
        <row r="4742">
          <cell r="L4742" t="str">
            <v>WA2601LT11BK</v>
          </cell>
          <cell r="BW4742">
            <v>59</v>
          </cell>
        </row>
        <row r="4743">
          <cell r="L4743" t="str">
            <v>WA2601LT11BK</v>
          </cell>
          <cell r="BW4743">
            <v>89</v>
          </cell>
        </row>
        <row r="4744">
          <cell r="L4744" t="str">
            <v>WA2601LT11BK</v>
          </cell>
          <cell r="BW4744">
            <v>22</v>
          </cell>
        </row>
        <row r="4745">
          <cell r="L4745" t="str">
            <v>WA2601LT11WH</v>
          </cell>
          <cell r="BW4745">
            <v>55</v>
          </cell>
        </row>
        <row r="4746">
          <cell r="L4746" t="str">
            <v>WA2601LT11WH</v>
          </cell>
          <cell r="BW4746">
            <v>78</v>
          </cell>
        </row>
        <row r="4747">
          <cell r="L4747" t="str">
            <v>WA2601LT11WH</v>
          </cell>
          <cell r="BW4747">
            <v>89</v>
          </cell>
        </row>
        <row r="4748">
          <cell r="L4748" t="str">
            <v>WA2601LT11WH</v>
          </cell>
          <cell r="BW4748">
            <v>47</v>
          </cell>
        </row>
        <row r="4749">
          <cell r="L4749" t="str">
            <v>WA2601LT12SB</v>
          </cell>
          <cell r="BW4749">
            <v>6</v>
          </cell>
        </row>
        <row r="4750">
          <cell r="L4750" t="str">
            <v>WA2601LT12SB</v>
          </cell>
          <cell r="BW4750">
            <v>7</v>
          </cell>
        </row>
        <row r="4751">
          <cell r="L4751" t="str">
            <v>WA2601LT12SB</v>
          </cell>
          <cell r="BW4751">
            <v>22</v>
          </cell>
        </row>
        <row r="4752">
          <cell r="L4752" t="str">
            <v>WA2601LT12SB</v>
          </cell>
          <cell r="BW4752">
            <v>12</v>
          </cell>
        </row>
        <row r="4753">
          <cell r="L4753" t="str">
            <v>WA2601LT12WH</v>
          </cell>
          <cell r="BW4753">
            <v>36</v>
          </cell>
        </row>
        <row r="4754">
          <cell r="L4754" t="str">
            <v>WA2601LT12WH</v>
          </cell>
          <cell r="BW4754">
            <v>54</v>
          </cell>
        </row>
        <row r="4755">
          <cell r="L4755" t="str">
            <v>WA2601LT12WH</v>
          </cell>
          <cell r="BW4755">
            <v>46</v>
          </cell>
        </row>
        <row r="4756">
          <cell r="L4756" t="str">
            <v>WA2601LT12WH</v>
          </cell>
          <cell r="BW4756">
            <v>45</v>
          </cell>
        </row>
        <row r="4757">
          <cell r="L4757" t="str">
            <v>WA2601LT13GR</v>
          </cell>
          <cell r="BW4757">
            <v>15</v>
          </cell>
        </row>
        <row r="4758">
          <cell r="L4758" t="str">
            <v>WA2601LT13GR</v>
          </cell>
          <cell r="BW4758">
            <v>16</v>
          </cell>
        </row>
        <row r="4759">
          <cell r="L4759" t="str">
            <v>WA2601LT13GR</v>
          </cell>
          <cell r="BW4759">
            <v>24</v>
          </cell>
        </row>
        <row r="4760">
          <cell r="L4760" t="str">
            <v>WA2601LT13GR</v>
          </cell>
          <cell r="BW4760">
            <v>10</v>
          </cell>
        </row>
        <row r="4761">
          <cell r="L4761" t="str">
            <v>WA2601LT13WH</v>
          </cell>
          <cell r="BW4761">
            <v>32</v>
          </cell>
        </row>
        <row r="4762">
          <cell r="L4762" t="str">
            <v>WA2601LT13WH</v>
          </cell>
          <cell r="BW4762">
            <v>48</v>
          </cell>
        </row>
        <row r="4763">
          <cell r="L4763" t="str">
            <v>WA2601LT13WH</v>
          </cell>
          <cell r="BW4763">
            <v>38</v>
          </cell>
        </row>
        <row r="4764">
          <cell r="L4764" t="str">
            <v>WA2601LT13WH</v>
          </cell>
          <cell r="BW4764">
            <v>33</v>
          </cell>
        </row>
        <row r="4765">
          <cell r="L4765" t="str">
            <v>WA2601LT14BL</v>
          </cell>
          <cell r="BW4765">
            <v>48</v>
          </cell>
        </row>
        <row r="4766">
          <cell r="L4766" t="str">
            <v>WA2601LT14BL</v>
          </cell>
          <cell r="BW4766">
            <v>54</v>
          </cell>
        </row>
        <row r="4767">
          <cell r="L4767" t="str">
            <v>WA2601LT14BL</v>
          </cell>
          <cell r="BW4767">
            <v>69</v>
          </cell>
        </row>
        <row r="4768">
          <cell r="L4768" t="str">
            <v>WA2601LT14BL</v>
          </cell>
          <cell r="BW4768">
            <v>32</v>
          </cell>
        </row>
        <row r="4769">
          <cell r="L4769" t="str">
            <v>WA2601LT14OT</v>
          </cell>
          <cell r="BW4769">
            <v>59</v>
          </cell>
        </row>
        <row r="4770">
          <cell r="L4770" t="str">
            <v>WA2601LT14OT</v>
          </cell>
          <cell r="BW4770">
            <v>64</v>
          </cell>
        </row>
        <row r="4771">
          <cell r="L4771" t="str">
            <v>WA2601LT14OT</v>
          </cell>
          <cell r="BW4771">
            <v>79</v>
          </cell>
        </row>
        <row r="4772">
          <cell r="L4772" t="str">
            <v>WA2601LT14OT</v>
          </cell>
          <cell r="BW4772">
            <v>65</v>
          </cell>
        </row>
        <row r="4773">
          <cell r="L4773" t="str">
            <v>WA2601LT15BR</v>
          </cell>
          <cell r="BW4773">
            <v>55</v>
          </cell>
        </row>
        <row r="4774">
          <cell r="L4774" t="str">
            <v>WA2601LT15BR</v>
          </cell>
          <cell r="BW4774">
            <v>79</v>
          </cell>
        </row>
        <row r="4775">
          <cell r="L4775" t="str">
            <v>WA2601LT15BR</v>
          </cell>
          <cell r="BW4775">
            <v>93</v>
          </cell>
        </row>
        <row r="4776">
          <cell r="L4776" t="str">
            <v>WA2601LT15BR</v>
          </cell>
          <cell r="BW4776">
            <v>42</v>
          </cell>
        </row>
        <row r="4777">
          <cell r="L4777" t="str">
            <v>WA2601LT16GN</v>
          </cell>
          <cell r="BW4777">
            <v>93</v>
          </cell>
        </row>
        <row r="4778">
          <cell r="L4778" t="str">
            <v>WA2601LT16GN</v>
          </cell>
          <cell r="BW4778">
            <v>110</v>
          </cell>
        </row>
        <row r="4779">
          <cell r="L4779" t="str">
            <v>WA2601LT16GN</v>
          </cell>
          <cell r="BW4779">
            <v>141</v>
          </cell>
        </row>
        <row r="4780">
          <cell r="L4780" t="str">
            <v>WA2601LT16GN</v>
          </cell>
          <cell r="BW4780">
            <v>61</v>
          </cell>
        </row>
        <row r="4781">
          <cell r="L4781" t="str">
            <v>WA2601LT16GR</v>
          </cell>
          <cell r="BW4781">
            <v>93</v>
          </cell>
        </row>
        <row r="4782">
          <cell r="L4782" t="str">
            <v>WA2601LT16GR</v>
          </cell>
          <cell r="BW4782">
            <v>118</v>
          </cell>
        </row>
        <row r="4783">
          <cell r="L4783" t="str">
            <v>WA2601LT16GR</v>
          </cell>
          <cell r="BW4783">
            <v>126</v>
          </cell>
        </row>
        <row r="4784">
          <cell r="L4784" t="str">
            <v>WA2601LT16GR</v>
          </cell>
          <cell r="BW4784">
            <v>85</v>
          </cell>
        </row>
        <row r="4785">
          <cell r="L4785" t="str">
            <v>WA2601LT16YE</v>
          </cell>
          <cell r="BW4785">
            <v>21</v>
          </cell>
        </row>
        <row r="4786">
          <cell r="L4786" t="str">
            <v>WA2601LT16YE</v>
          </cell>
          <cell r="BW4786">
            <v>32</v>
          </cell>
        </row>
        <row r="4787">
          <cell r="L4787" t="str">
            <v>WA2601LT16YE</v>
          </cell>
          <cell r="BW4787">
            <v>31</v>
          </cell>
        </row>
        <row r="4788">
          <cell r="L4788" t="str">
            <v>WA2601LT16YE</v>
          </cell>
          <cell r="BW4788">
            <v>22</v>
          </cell>
        </row>
        <row r="4789">
          <cell r="L4789" t="str">
            <v>WA2601LT17CH</v>
          </cell>
          <cell r="BW4789">
            <v>100</v>
          </cell>
        </row>
        <row r="4790">
          <cell r="L4790" t="str">
            <v>WA2601LT17CH</v>
          </cell>
          <cell r="BW4790">
            <v>161</v>
          </cell>
        </row>
        <row r="4791">
          <cell r="L4791" t="str">
            <v>WA2601LT17CH</v>
          </cell>
          <cell r="BW4791">
            <v>170</v>
          </cell>
        </row>
        <row r="4792">
          <cell r="L4792" t="str">
            <v>WA2601LT17CH</v>
          </cell>
          <cell r="BW4792">
            <v>94</v>
          </cell>
        </row>
        <row r="4793">
          <cell r="L4793" t="str">
            <v>WA2601LT17PI</v>
          </cell>
          <cell r="BW4793">
            <v>65</v>
          </cell>
        </row>
        <row r="4794">
          <cell r="L4794" t="str">
            <v>WA2601LT17PI</v>
          </cell>
          <cell r="BW4794">
            <v>75</v>
          </cell>
        </row>
        <row r="4795">
          <cell r="L4795" t="str">
            <v>WA2601LT17PI</v>
          </cell>
          <cell r="BW4795">
            <v>76</v>
          </cell>
        </row>
        <row r="4796">
          <cell r="L4796" t="str">
            <v>WA2601LT17PI</v>
          </cell>
          <cell r="BW4796">
            <v>36</v>
          </cell>
        </row>
        <row r="4797">
          <cell r="L4797" t="str">
            <v>WA2601LT18BE</v>
          </cell>
          <cell r="BW4797">
            <v>106</v>
          </cell>
        </row>
        <row r="4798">
          <cell r="L4798" t="str">
            <v>WA2601LT18BE</v>
          </cell>
          <cell r="BW4798">
            <v>137</v>
          </cell>
        </row>
        <row r="4799">
          <cell r="L4799" t="str">
            <v>WA2601LT18BE</v>
          </cell>
          <cell r="BW4799">
            <v>149</v>
          </cell>
        </row>
        <row r="4800">
          <cell r="L4800" t="str">
            <v>WA2601LT18BE</v>
          </cell>
          <cell r="BW4800">
            <v>73</v>
          </cell>
        </row>
        <row r="4801">
          <cell r="L4801" t="str">
            <v>WA2601LT18MI</v>
          </cell>
          <cell r="BW4801">
            <v>66</v>
          </cell>
        </row>
        <row r="4802">
          <cell r="L4802" t="str">
            <v>WA2601LT18MI</v>
          </cell>
          <cell r="BW4802">
            <v>77</v>
          </cell>
        </row>
        <row r="4803">
          <cell r="L4803" t="str">
            <v>WA2601LT18MI</v>
          </cell>
          <cell r="BW4803">
            <v>88</v>
          </cell>
        </row>
        <row r="4804">
          <cell r="L4804" t="str">
            <v>WA2601LT18MI</v>
          </cell>
          <cell r="BW4804">
            <v>50</v>
          </cell>
        </row>
        <row r="4805">
          <cell r="L4805" t="str">
            <v>WA2601LT61BK</v>
          </cell>
          <cell r="BW4805">
            <v>179</v>
          </cell>
        </row>
        <row r="4806">
          <cell r="L4806" t="str">
            <v>WA2601LT61DN</v>
          </cell>
          <cell r="BW4806">
            <v>253</v>
          </cell>
        </row>
        <row r="4807">
          <cell r="L4807" t="str">
            <v>WA2601LT61SB</v>
          </cell>
          <cell r="BW4807">
            <v>112</v>
          </cell>
        </row>
        <row r="4808">
          <cell r="L4808" t="str">
            <v>WA2601LT62DN</v>
          </cell>
          <cell r="BW4808">
            <v>300</v>
          </cell>
        </row>
        <row r="4809">
          <cell r="L4809" t="str">
            <v>WA2601LT62SB</v>
          </cell>
          <cell r="BW4809">
            <v>126</v>
          </cell>
        </row>
        <row r="4810">
          <cell r="L4810" t="str">
            <v>WA2601LT63CH</v>
          </cell>
          <cell r="BW4810">
            <v>251</v>
          </cell>
        </row>
        <row r="4811">
          <cell r="L4811" t="str">
            <v>WA2601LT63WH</v>
          </cell>
          <cell r="BW4811">
            <v>239</v>
          </cell>
        </row>
        <row r="4812">
          <cell r="L4812" t="str">
            <v>WA2601LT65LG</v>
          </cell>
          <cell r="BW4812">
            <v>119</v>
          </cell>
        </row>
        <row r="4813">
          <cell r="L4813" t="str">
            <v>WA2601LT65LG</v>
          </cell>
          <cell r="BW4813">
            <v>154</v>
          </cell>
        </row>
        <row r="4814">
          <cell r="L4814" t="str">
            <v>WA2601LT65NA</v>
          </cell>
          <cell r="BW4814">
            <v>101</v>
          </cell>
        </row>
        <row r="4815">
          <cell r="L4815" t="str">
            <v>WA2601LT65NA</v>
          </cell>
          <cell r="BW4815">
            <v>132</v>
          </cell>
        </row>
        <row r="4816">
          <cell r="L4816" t="str">
            <v>WA2601LT65TC</v>
          </cell>
          <cell r="BW4816">
            <v>77</v>
          </cell>
        </row>
        <row r="4817">
          <cell r="L4817" t="str">
            <v>WA2601LT65TC</v>
          </cell>
          <cell r="BW4817">
            <v>105</v>
          </cell>
        </row>
        <row r="4818">
          <cell r="L4818" t="str">
            <v>WA2601LT65WH</v>
          </cell>
          <cell r="BW4818">
            <v>73</v>
          </cell>
        </row>
        <row r="4819">
          <cell r="L4819" t="str">
            <v>WA2601LT65WH</v>
          </cell>
          <cell r="BW4819">
            <v>64</v>
          </cell>
        </row>
        <row r="4820">
          <cell r="L4820" t="str">
            <v>WA2601LT66NA</v>
          </cell>
          <cell r="BW4820">
            <v>340</v>
          </cell>
        </row>
        <row r="4821">
          <cell r="L4821" t="str">
            <v>WA2601LT66WH</v>
          </cell>
          <cell r="BW4821">
            <v>300</v>
          </cell>
        </row>
        <row r="4822">
          <cell r="L4822" t="str">
            <v>WA2601LTC1CH</v>
          </cell>
          <cell r="BW4822">
            <v>0</v>
          </cell>
        </row>
        <row r="4823">
          <cell r="L4823" t="str">
            <v>WA2601LTC1CH</v>
          </cell>
          <cell r="BW4823">
            <v>0</v>
          </cell>
        </row>
        <row r="4824">
          <cell r="L4824" t="str">
            <v>WA2601LTC1CH</v>
          </cell>
          <cell r="BW4824">
            <v>0</v>
          </cell>
        </row>
        <row r="4825">
          <cell r="L4825" t="str">
            <v>WA2601LTC1CH</v>
          </cell>
          <cell r="BW4825">
            <v>0</v>
          </cell>
        </row>
        <row r="4826">
          <cell r="L4826" t="str">
            <v>WA2601LTC2WH</v>
          </cell>
          <cell r="BW4826">
            <v>0</v>
          </cell>
        </row>
        <row r="4827">
          <cell r="L4827" t="str">
            <v>WA2601LTC2WH</v>
          </cell>
          <cell r="BW4827">
            <v>0</v>
          </cell>
        </row>
        <row r="4828">
          <cell r="L4828" t="str">
            <v>WA2601LTC2WH</v>
          </cell>
          <cell r="BW4828">
            <v>0</v>
          </cell>
        </row>
        <row r="4829">
          <cell r="L4829" t="str">
            <v>WA2601LTC2WH</v>
          </cell>
          <cell r="BW4829">
            <v>0</v>
          </cell>
        </row>
        <row r="4830">
          <cell r="L4830" t="str">
            <v>WA2601LTO1TC</v>
          </cell>
          <cell r="BW4830">
            <v>179</v>
          </cell>
        </row>
        <row r="4831">
          <cell r="L4831" t="str">
            <v>WA2601LTO1TC</v>
          </cell>
          <cell r="BW4831">
            <v>239</v>
          </cell>
        </row>
        <row r="4832">
          <cell r="L4832" t="str">
            <v>WA2601LTO1TC</v>
          </cell>
          <cell r="BW4832">
            <v>254</v>
          </cell>
        </row>
        <row r="4833">
          <cell r="L4833" t="str">
            <v>WA2601LTO1TC</v>
          </cell>
          <cell r="BW4833">
            <v>128</v>
          </cell>
        </row>
        <row r="4834">
          <cell r="L4834" t="str">
            <v>WA2601LTR1BK</v>
          </cell>
          <cell r="BW4834">
            <v>56</v>
          </cell>
        </row>
        <row r="4835">
          <cell r="L4835" t="str">
            <v>WA2601LTR1BK</v>
          </cell>
          <cell r="BW4835">
            <v>57</v>
          </cell>
        </row>
        <row r="4836">
          <cell r="L4836" t="str">
            <v>WA2601LTR1BK</v>
          </cell>
          <cell r="BW4836">
            <v>44</v>
          </cell>
        </row>
        <row r="4837">
          <cell r="L4837" t="str">
            <v>WA2601LTR1BK</v>
          </cell>
          <cell r="BW4837">
            <v>39</v>
          </cell>
        </row>
        <row r="4838">
          <cell r="L4838" t="str">
            <v>WA2601LTR1CM</v>
          </cell>
          <cell r="BW4838">
            <v>27</v>
          </cell>
        </row>
        <row r="4839">
          <cell r="L4839" t="str">
            <v>WA2601LTR1CM</v>
          </cell>
          <cell r="BW4839">
            <v>28</v>
          </cell>
        </row>
        <row r="4840">
          <cell r="L4840" t="str">
            <v>WA2601LTR1CM</v>
          </cell>
          <cell r="BW4840">
            <v>19</v>
          </cell>
        </row>
        <row r="4841">
          <cell r="L4841" t="str">
            <v>WA2601LTR1CM</v>
          </cell>
          <cell r="BW4841">
            <v>22</v>
          </cell>
        </row>
        <row r="4842">
          <cell r="L4842" t="str">
            <v>WA2601PT01BK</v>
          </cell>
          <cell r="BW4842">
            <v>609</v>
          </cell>
        </row>
        <row r="4843">
          <cell r="L4843" t="str">
            <v>WA2601PT01BK</v>
          </cell>
          <cell r="BW4843">
            <v>643</v>
          </cell>
        </row>
        <row r="4844">
          <cell r="L4844" t="str">
            <v>WA2601PT01BK</v>
          </cell>
          <cell r="BW4844">
            <v>458</v>
          </cell>
        </row>
        <row r="4845">
          <cell r="L4845" t="str">
            <v>WA2601PT01BK</v>
          </cell>
          <cell r="BW4845">
            <v>283</v>
          </cell>
        </row>
        <row r="4846">
          <cell r="L4846" t="str">
            <v>WA2601PT01BK</v>
          </cell>
          <cell r="BW4846">
            <v>232</v>
          </cell>
        </row>
        <row r="4847">
          <cell r="L4847" t="str">
            <v>WA2601PT01BR</v>
          </cell>
          <cell r="BW4847">
            <v>128</v>
          </cell>
        </row>
        <row r="4848">
          <cell r="L4848" t="str">
            <v>WA2601PT01BR</v>
          </cell>
          <cell r="BW4848">
            <v>130</v>
          </cell>
        </row>
        <row r="4849">
          <cell r="L4849" t="str">
            <v>WA2601PT01BR</v>
          </cell>
          <cell r="BW4849">
            <v>104</v>
          </cell>
        </row>
        <row r="4850">
          <cell r="L4850" t="str">
            <v>WA2601PT01BR</v>
          </cell>
          <cell r="BW4850">
            <v>31</v>
          </cell>
        </row>
        <row r="4851">
          <cell r="L4851" t="str">
            <v>WA2601PT01BR</v>
          </cell>
          <cell r="BW4851">
            <v>45</v>
          </cell>
        </row>
        <row r="4852">
          <cell r="L4852" t="str">
            <v>WA2601PT01GR</v>
          </cell>
          <cell r="BW4852">
            <v>486</v>
          </cell>
        </row>
        <row r="4853">
          <cell r="L4853" t="str">
            <v>WA2601PT01GR</v>
          </cell>
          <cell r="BW4853">
            <v>688</v>
          </cell>
        </row>
        <row r="4854">
          <cell r="L4854" t="str">
            <v>WA2601PT01GR</v>
          </cell>
          <cell r="BW4854">
            <v>560</v>
          </cell>
        </row>
        <row r="4855">
          <cell r="L4855" t="str">
            <v>WA2601PT01GR</v>
          </cell>
          <cell r="BW4855">
            <v>229</v>
          </cell>
        </row>
        <row r="4856">
          <cell r="L4856" t="str">
            <v>WA2601PT01GR</v>
          </cell>
          <cell r="BW4856">
            <v>302</v>
          </cell>
        </row>
        <row r="4857">
          <cell r="L4857" t="str">
            <v>WA2601PT01LG</v>
          </cell>
          <cell r="BW4857">
            <v>317</v>
          </cell>
        </row>
        <row r="4858">
          <cell r="L4858" t="str">
            <v>WA2601PT01LG</v>
          </cell>
          <cell r="BW4858">
            <v>532</v>
          </cell>
        </row>
        <row r="4859">
          <cell r="L4859" t="str">
            <v>WA2601PT01LG</v>
          </cell>
          <cell r="BW4859">
            <v>498</v>
          </cell>
        </row>
        <row r="4860">
          <cell r="L4860" t="str">
            <v>WA2601PT01LG</v>
          </cell>
          <cell r="BW4860">
            <v>171</v>
          </cell>
        </row>
        <row r="4861">
          <cell r="L4861" t="str">
            <v>WA2601PT01LG</v>
          </cell>
          <cell r="BW4861">
            <v>362</v>
          </cell>
        </row>
        <row r="4862">
          <cell r="L4862" t="str">
            <v>WA2601PT01TC</v>
          </cell>
          <cell r="BW4862">
            <v>76</v>
          </cell>
        </row>
        <row r="4863">
          <cell r="L4863" t="str">
            <v>WA2601PT01TC</v>
          </cell>
          <cell r="BW4863">
            <v>101</v>
          </cell>
        </row>
        <row r="4864">
          <cell r="L4864" t="str">
            <v>WA2601PT01TC</v>
          </cell>
          <cell r="BW4864">
            <v>69</v>
          </cell>
        </row>
        <row r="4865">
          <cell r="L4865" t="str">
            <v>WA2601PT01TC</v>
          </cell>
          <cell r="BW4865">
            <v>51</v>
          </cell>
        </row>
        <row r="4866">
          <cell r="L4866" t="str">
            <v>WA2601PT02BK</v>
          </cell>
          <cell r="BW4866">
            <v>472</v>
          </cell>
        </row>
        <row r="4867">
          <cell r="L4867" t="str">
            <v>WA2601PT02BK</v>
          </cell>
          <cell r="BW4867">
            <v>478</v>
          </cell>
        </row>
        <row r="4868">
          <cell r="L4868" t="str">
            <v>WA2601PT02BK</v>
          </cell>
          <cell r="BW4868">
            <v>413</v>
          </cell>
        </row>
        <row r="4869">
          <cell r="L4869" t="str">
            <v>WA2601PT02BK</v>
          </cell>
          <cell r="BW4869">
            <v>286</v>
          </cell>
        </row>
        <row r="4870">
          <cell r="L4870" t="str">
            <v>WA2601PT02BK</v>
          </cell>
          <cell r="BW4870">
            <v>104</v>
          </cell>
        </row>
        <row r="4871">
          <cell r="L4871" t="str">
            <v>WA2601PT02GR</v>
          </cell>
          <cell r="BW4871">
            <v>452</v>
          </cell>
        </row>
        <row r="4872">
          <cell r="L4872" t="str">
            <v>WA2601PT02GR</v>
          </cell>
          <cell r="BW4872">
            <v>509</v>
          </cell>
        </row>
        <row r="4873">
          <cell r="L4873" t="str">
            <v>WA2601PT02GR</v>
          </cell>
          <cell r="BW4873">
            <v>515</v>
          </cell>
        </row>
        <row r="4874">
          <cell r="L4874" t="str">
            <v>WA2601PT02GR</v>
          </cell>
          <cell r="BW4874">
            <v>188</v>
          </cell>
        </row>
        <row r="4875">
          <cell r="L4875" t="str">
            <v>WA2601PT02GR</v>
          </cell>
          <cell r="BW4875">
            <v>136</v>
          </cell>
        </row>
        <row r="4876">
          <cell r="L4876" t="str">
            <v>WA2601PT04BK</v>
          </cell>
          <cell r="BW4876">
            <v>64</v>
          </cell>
        </row>
        <row r="4877">
          <cell r="L4877" t="str">
            <v>WA2601PT04BK</v>
          </cell>
          <cell r="BW4877">
            <v>71</v>
          </cell>
        </row>
        <row r="4878">
          <cell r="L4878" t="str">
            <v>WA2601PT04BK</v>
          </cell>
          <cell r="BW4878">
            <v>130</v>
          </cell>
        </row>
        <row r="4879">
          <cell r="L4879" t="str">
            <v>WA2601PT04BK</v>
          </cell>
          <cell r="BW4879">
            <v>53</v>
          </cell>
        </row>
        <row r="4880">
          <cell r="L4880" t="str">
            <v>WA2601PT04GR</v>
          </cell>
          <cell r="BW4880">
            <v>129</v>
          </cell>
        </row>
        <row r="4881">
          <cell r="L4881" t="str">
            <v>WA2601PT04GR</v>
          </cell>
          <cell r="BW4881">
            <v>116</v>
          </cell>
        </row>
        <row r="4882">
          <cell r="L4882" t="str">
            <v>WA2601PT04GR</v>
          </cell>
          <cell r="BW4882">
            <v>142</v>
          </cell>
        </row>
        <row r="4883">
          <cell r="L4883" t="str">
            <v>WA2601PT04GR</v>
          </cell>
          <cell r="BW4883">
            <v>86</v>
          </cell>
        </row>
        <row r="4884">
          <cell r="L4884" t="str">
            <v>WA2601PT05LG</v>
          </cell>
          <cell r="BW4884">
            <v>123</v>
          </cell>
        </row>
        <row r="4885">
          <cell r="L4885" t="str">
            <v>WA2601PT05LG</v>
          </cell>
          <cell r="BW4885">
            <v>128</v>
          </cell>
        </row>
        <row r="4886">
          <cell r="L4886" t="str">
            <v>WA2601PT05LG</v>
          </cell>
          <cell r="BW4886">
            <v>75</v>
          </cell>
        </row>
        <row r="4887">
          <cell r="L4887" t="str">
            <v>WA2601PT05LG</v>
          </cell>
          <cell r="BW4887">
            <v>79</v>
          </cell>
        </row>
        <row r="4888">
          <cell r="L4888" t="str">
            <v>WA2601PT06CH</v>
          </cell>
          <cell r="BW4888">
            <v>390</v>
          </cell>
        </row>
        <row r="4889">
          <cell r="L4889" t="str">
            <v>WA2601PT06CH</v>
          </cell>
          <cell r="BW4889">
            <v>395</v>
          </cell>
        </row>
        <row r="4890">
          <cell r="L4890" t="str">
            <v>WA2601PT06CH</v>
          </cell>
          <cell r="BW4890">
            <v>313</v>
          </cell>
        </row>
        <row r="4891">
          <cell r="L4891" t="str">
            <v>WA2601PT06CH</v>
          </cell>
          <cell r="BW4891">
            <v>202</v>
          </cell>
        </row>
        <row r="4892">
          <cell r="L4892" t="str">
            <v>WA2601PT06LI</v>
          </cell>
          <cell r="BW4892">
            <v>64</v>
          </cell>
        </row>
        <row r="4893">
          <cell r="L4893" t="str">
            <v>WA2601PT06LI</v>
          </cell>
          <cell r="BW4893">
            <v>110</v>
          </cell>
        </row>
        <row r="4894">
          <cell r="L4894" t="str">
            <v>WA2601PT06LI</v>
          </cell>
          <cell r="BW4894">
            <v>101</v>
          </cell>
        </row>
        <row r="4895">
          <cell r="L4895" t="str">
            <v>WA2601PT08BK</v>
          </cell>
          <cell r="BW4895">
            <v>56</v>
          </cell>
        </row>
        <row r="4896">
          <cell r="L4896" t="str">
            <v>WA2601PT08BK</v>
          </cell>
          <cell r="BW4896">
            <v>60</v>
          </cell>
        </row>
        <row r="4897">
          <cell r="L4897" t="str">
            <v>WA2601PT08BK</v>
          </cell>
          <cell r="BW4897">
            <v>36</v>
          </cell>
        </row>
        <row r="4898">
          <cell r="L4898" t="str">
            <v>WA2601PT08BK</v>
          </cell>
          <cell r="BW4898">
            <v>45</v>
          </cell>
        </row>
        <row r="4899">
          <cell r="L4899" t="str">
            <v>WA2601PT08GR</v>
          </cell>
          <cell r="BW4899">
            <v>84</v>
          </cell>
        </row>
        <row r="4900">
          <cell r="L4900" t="str">
            <v>WA2601PT08GR</v>
          </cell>
          <cell r="BW4900">
            <v>71</v>
          </cell>
        </row>
        <row r="4901">
          <cell r="L4901" t="str">
            <v>WA2601PT08GR</v>
          </cell>
          <cell r="BW4901">
            <v>56</v>
          </cell>
        </row>
        <row r="4902">
          <cell r="L4902" t="str">
            <v>WA2601PT08GR</v>
          </cell>
          <cell r="BW4902">
            <v>71</v>
          </cell>
        </row>
        <row r="4903">
          <cell r="L4903" t="str">
            <v>WA2601PT09BK</v>
          </cell>
          <cell r="BW4903">
            <v>129</v>
          </cell>
        </row>
        <row r="4904">
          <cell r="L4904" t="str">
            <v>WA2601PT09BK</v>
          </cell>
          <cell r="BW4904">
            <v>187</v>
          </cell>
        </row>
        <row r="4905">
          <cell r="L4905" t="str">
            <v>WA2601PT09BK</v>
          </cell>
          <cell r="BW4905">
            <v>174</v>
          </cell>
        </row>
        <row r="4906">
          <cell r="L4906" t="str">
            <v>WA2601PT09BK</v>
          </cell>
          <cell r="BW4906">
            <v>52</v>
          </cell>
        </row>
        <row r="4907">
          <cell r="L4907" t="str">
            <v>WA2601PT11BK</v>
          </cell>
          <cell r="BW4907">
            <v>175</v>
          </cell>
        </row>
        <row r="4908">
          <cell r="L4908" t="str">
            <v>WA2601PT11BK</v>
          </cell>
          <cell r="BW4908">
            <v>269</v>
          </cell>
        </row>
        <row r="4909">
          <cell r="L4909" t="str">
            <v>WA2601PT11BK</v>
          </cell>
          <cell r="BW4909">
            <v>163</v>
          </cell>
        </row>
        <row r="4910">
          <cell r="L4910" t="str">
            <v>WA2601PT11BK</v>
          </cell>
          <cell r="BW4910">
            <v>51</v>
          </cell>
        </row>
        <row r="4911">
          <cell r="L4911" t="str">
            <v>WA2601PT11BL</v>
          </cell>
          <cell r="BW4911">
            <v>132</v>
          </cell>
        </row>
        <row r="4912">
          <cell r="L4912" t="str">
            <v>WA2601PT11BL</v>
          </cell>
          <cell r="BW4912">
            <v>193</v>
          </cell>
        </row>
        <row r="4913">
          <cell r="L4913" t="str">
            <v>WA2601PT11BL</v>
          </cell>
          <cell r="BW4913">
            <v>120</v>
          </cell>
        </row>
        <row r="4914">
          <cell r="L4914" t="str">
            <v>WA2601PT11BL</v>
          </cell>
          <cell r="BW4914">
            <v>49</v>
          </cell>
        </row>
        <row r="4915">
          <cell r="L4915" t="str">
            <v>WA2601PT11LG</v>
          </cell>
          <cell r="BW4915">
            <v>181</v>
          </cell>
        </row>
        <row r="4916">
          <cell r="L4916" t="str">
            <v>WA2601PT11LG</v>
          </cell>
          <cell r="BW4916">
            <v>256</v>
          </cell>
        </row>
        <row r="4917">
          <cell r="L4917" t="str">
            <v>WA2601PT11LG</v>
          </cell>
          <cell r="BW4917">
            <v>159</v>
          </cell>
        </row>
        <row r="4918">
          <cell r="L4918" t="str">
            <v>WA2601PT11LG</v>
          </cell>
          <cell r="BW4918">
            <v>67</v>
          </cell>
        </row>
        <row r="4919">
          <cell r="L4919" t="str">
            <v>WA2601PT31IN</v>
          </cell>
          <cell r="BW4919">
            <v>123</v>
          </cell>
        </row>
        <row r="4920">
          <cell r="L4920" t="str">
            <v>WA2601PT31IN</v>
          </cell>
          <cell r="BW4920">
            <v>145</v>
          </cell>
        </row>
        <row r="4921">
          <cell r="L4921" t="str">
            <v>WA2601PT31IN</v>
          </cell>
          <cell r="BW4921">
            <v>89</v>
          </cell>
        </row>
        <row r="4922">
          <cell r="L4922" t="str">
            <v>WA2601PT31IN</v>
          </cell>
          <cell r="BW4922">
            <v>61</v>
          </cell>
        </row>
        <row r="4923">
          <cell r="L4923" t="str">
            <v>WA2601PT31SB</v>
          </cell>
          <cell r="BW4923">
            <v>91</v>
          </cell>
        </row>
        <row r="4924">
          <cell r="L4924" t="str">
            <v>WA2601PT31SB</v>
          </cell>
          <cell r="BW4924">
            <v>118</v>
          </cell>
        </row>
        <row r="4925">
          <cell r="L4925" t="str">
            <v>WA2601PT31SB</v>
          </cell>
          <cell r="BW4925">
            <v>65</v>
          </cell>
        </row>
        <row r="4926">
          <cell r="L4926" t="str">
            <v>WA2601PT31SB</v>
          </cell>
          <cell r="BW4926">
            <v>59</v>
          </cell>
        </row>
        <row r="4927">
          <cell r="L4927" t="str">
            <v>WA2601PT32BK</v>
          </cell>
          <cell r="BW4927">
            <v>106</v>
          </cell>
        </row>
        <row r="4928">
          <cell r="L4928" t="str">
            <v>WA2601PT32BK</v>
          </cell>
          <cell r="BW4928">
            <v>158</v>
          </cell>
        </row>
        <row r="4929">
          <cell r="L4929" t="str">
            <v>WA2601PT32BK</v>
          </cell>
          <cell r="BW4929">
            <v>58</v>
          </cell>
        </row>
        <row r="4930">
          <cell r="L4930" t="str">
            <v>WA2601PT32BK</v>
          </cell>
          <cell r="BW4930">
            <v>35</v>
          </cell>
        </row>
        <row r="4931">
          <cell r="L4931" t="str">
            <v>WA2601PT32BL</v>
          </cell>
          <cell r="BW4931">
            <v>39</v>
          </cell>
        </row>
        <row r="4932">
          <cell r="L4932" t="str">
            <v>WA2601PT32BL</v>
          </cell>
          <cell r="BW4932">
            <v>84</v>
          </cell>
        </row>
        <row r="4933">
          <cell r="L4933" t="str">
            <v>WA2601PT32BL</v>
          </cell>
          <cell r="BW4933">
            <v>41</v>
          </cell>
        </row>
        <row r="4934">
          <cell r="L4934" t="str">
            <v>WA2601PT32BL</v>
          </cell>
          <cell r="BW4934">
            <v>33</v>
          </cell>
        </row>
        <row r="4935">
          <cell r="L4935" t="str">
            <v>WA2601PT32IN</v>
          </cell>
          <cell r="BW4935">
            <v>113</v>
          </cell>
        </row>
        <row r="4936">
          <cell r="L4936" t="str">
            <v>WA2601PT32IN</v>
          </cell>
          <cell r="BW4936">
            <v>122</v>
          </cell>
        </row>
        <row r="4937">
          <cell r="L4937" t="str">
            <v>WA2601PT32IN</v>
          </cell>
          <cell r="BW4937">
            <v>31</v>
          </cell>
        </row>
        <row r="4938">
          <cell r="L4938" t="str">
            <v>WA2601PT32IN</v>
          </cell>
          <cell r="BW4938">
            <v>29</v>
          </cell>
        </row>
        <row r="4939">
          <cell r="L4939" t="str">
            <v>WA2601PT33BK</v>
          </cell>
          <cell r="BW4939">
            <v>117</v>
          </cell>
        </row>
        <row r="4940">
          <cell r="L4940" t="str">
            <v>WA2601PT33BK</v>
          </cell>
          <cell r="BW4940">
            <v>94</v>
          </cell>
        </row>
        <row r="4941">
          <cell r="L4941" t="str">
            <v>WA2601PT33BK</v>
          </cell>
          <cell r="BW4941">
            <v>41</v>
          </cell>
        </row>
        <row r="4942">
          <cell r="L4942" t="str">
            <v>WA2601PT33BK</v>
          </cell>
          <cell r="BW4942">
            <v>46</v>
          </cell>
        </row>
        <row r="4943">
          <cell r="L4943" t="str">
            <v>WA2601PT33BL</v>
          </cell>
          <cell r="BW4943">
            <v>110</v>
          </cell>
        </row>
        <row r="4944">
          <cell r="L4944" t="str">
            <v>WA2601PT33BL</v>
          </cell>
          <cell r="BW4944">
            <v>91</v>
          </cell>
        </row>
        <row r="4945">
          <cell r="L4945" t="str">
            <v>WA2601PT33BL</v>
          </cell>
          <cell r="BW4945">
            <v>54</v>
          </cell>
        </row>
        <row r="4946">
          <cell r="L4946" t="str">
            <v>WA2601PT33BL</v>
          </cell>
          <cell r="BW4946">
            <v>54</v>
          </cell>
        </row>
        <row r="4947">
          <cell r="L4947" t="str">
            <v>WA2601PT34BE</v>
          </cell>
          <cell r="BW4947">
            <v>32</v>
          </cell>
        </row>
        <row r="4948">
          <cell r="L4948" t="str">
            <v>WA2601PT34BE</v>
          </cell>
          <cell r="BW4948">
            <v>37</v>
          </cell>
        </row>
        <row r="4949">
          <cell r="L4949" t="str">
            <v>WA2601PT34BE</v>
          </cell>
          <cell r="BW4949">
            <v>34</v>
          </cell>
        </row>
        <row r="4950">
          <cell r="L4950" t="str">
            <v>WA2601PT34BE</v>
          </cell>
          <cell r="BW4950">
            <v>7</v>
          </cell>
        </row>
        <row r="4951">
          <cell r="L4951" t="str">
            <v>WA2601PT34SB</v>
          </cell>
          <cell r="BW4951">
            <v>67</v>
          </cell>
        </row>
        <row r="4952">
          <cell r="L4952" t="str">
            <v>WA2601PT34SB</v>
          </cell>
          <cell r="BW4952">
            <v>99</v>
          </cell>
        </row>
        <row r="4953">
          <cell r="L4953" t="str">
            <v>WA2601PT34SB</v>
          </cell>
          <cell r="BW4953">
            <v>63</v>
          </cell>
        </row>
        <row r="4954">
          <cell r="L4954" t="str">
            <v>WA2601PT34SB</v>
          </cell>
          <cell r="BW4954">
            <v>47</v>
          </cell>
        </row>
        <row r="4955">
          <cell r="L4955" t="str">
            <v>WA2601PT35BK</v>
          </cell>
          <cell r="BW4955">
            <v>89</v>
          </cell>
        </row>
        <row r="4956">
          <cell r="L4956" t="str">
            <v>WA2601PT35BK</v>
          </cell>
          <cell r="BW4956">
            <v>105</v>
          </cell>
        </row>
        <row r="4957">
          <cell r="L4957" t="str">
            <v>WA2601PT35BK</v>
          </cell>
          <cell r="BW4957">
            <v>60</v>
          </cell>
        </row>
        <row r="4958">
          <cell r="L4958" t="str">
            <v>WA2601PT35BK</v>
          </cell>
          <cell r="BW4958">
            <v>45</v>
          </cell>
        </row>
        <row r="4959">
          <cell r="L4959" t="str">
            <v>WA2601PT35BL</v>
          </cell>
          <cell r="BW4959">
            <v>90</v>
          </cell>
        </row>
        <row r="4960">
          <cell r="L4960" t="str">
            <v>WA2601PT35BL</v>
          </cell>
          <cell r="BW4960">
            <v>117</v>
          </cell>
        </row>
        <row r="4961">
          <cell r="L4961" t="str">
            <v>WA2601PT35BL</v>
          </cell>
          <cell r="BW4961">
            <v>57</v>
          </cell>
        </row>
        <row r="4962">
          <cell r="L4962" t="str">
            <v>WA2601PT35BL</v>
          </cell>
          <cell r="BW4962">
            <v>29</v>
          </cell>
        </row>
        <row r="4963">
          <cell r="L4963" t="str">
            <v>WA2601PT36IN</v>
          </cell>
          <cell r="BW4963">
            <v>86</v>
          </cell>
        </row>
        <row r="4964">
          <cell r="L4964" t="str">
            <v>WA2601PT36IN</v>
          </cell>
          <cell r="BW4964">
            <v>102</v>
          </cell>
        </row>
        <row r="4965">
          <cell r="L4965" t="str">
            <v>WA2601PT36IN</v>
          </cell>
          <cell r="BW4965">
            <v>58</v>
          </cell>
        </row>
        <row r="4966">
          <cell r="L4966" t="str">
            <v>WA2601PT36IN</v>
          </cell>
          <cell r="BW4966">
            <v>46</v>
          </cell>
        </row>
        <row r="4967">
          <cell r="L4967" t="str">
            <v>WA2601PT36LB</v>
          </cell>
          <cell r="BW4967">
            <v>81</v>
          </cell>
        </row>
        <row r="4968">
          <cell r="L4968" t="str">
            <v>WA2601PT36LB</v>
          </cell>
          <cell r="BW4968">
            <v>118</v>
          </cell>
        </row>
        <row r="4969">
          <cell r="L4969" t="str">
            <v>WA2601PT36LB</v>
          </cell>
          <cell r="BW4969">
            <v>55</v>
          </cell>
        </row>
        <row r="4970">
          <cell r="L4970" t="str">
            <v>WA2601PT36LB</v>
          </cell>
          <cell r="BW4970">
            <v>29</v>
          </cell>
        </row>
        <row r="4971">
          <cell r="L4971" t="str">
            <v>WA2601PT37CH</v>
          </cell>
          <cell r="BW4971">
            <v>0</v>
          </cell>
        </row>
        <row r="4972">
          <cell r="L4972" t="str">
            <v>WA2601PT37CH</v>
          </cell>
          <cell r="BW4972">
            <v>0</v>
          </cell>
        </row>
        <row r="4973">
          <cell r="L4973" t="str">
            <v>WA2601PT37CH</v>
          </cell>
          <cell r="BW4973">
            <v>0</v>
          </cell>
        </row>
        <row r="4974">
          <cell r="L4974" t="str">
            <v>WA2601PT37CH</v>
          </cell>
          <cell r="BW4974">
            <v>0</v>
          </cell>
        </row>
        <row r="4975">
          <cell r="L4975" t="str">
            <v>WA2601PT37PU</v>
          </cell>
          <cell r="BW4975">
            <v>0</v>
          </cell>
        </row>
        <row r="4976">
          <cell r="L4976" t="str">
            <v>WA2601PT37PU</v>
          </cell>
          <cell r="BW4976">
            <v>0</v>
          </cell>
        </row>
        <row r="4977">
          <cell r="L4977" t="str">
            <v>WA2601PT37PU</v>
          </cell>
          <cell r="BW4977">
            <v>0</v>
          </cell>
        </row>
        <row r="4978">
          <cell r="L4978" t="str">
            <v>WA2601PT37PU</v>
          </cell>
          <cell r="BW4978">
            <v>0</v>
          </cell>
        </row>
        <row r="4979">
          <cell r="L4979" t="str">
            <v>WA2601PT51DN</v>
          </cell>
          <cell r="BW4979">
            <v>369</v>
          </cell>
        </row>
        <row r="4980">
          <cell r="L4980" t="str">
            <v>WA2601PT51DN</v>
          </cell>
          <cell r="BW4980">
            <v>581</v>
          </cell>
        </row>
        <row r="4981">
          <cell r="L4981" t="str">
            <v>WA2601PT51LG</v>
          </cell>
          <cell r="BW4981">
            <v>418</v>
          </cell>
        </row>
        <row r="4982">
          <cell r="L4982" t="str">
            <v>WA2601PT51LG</v>
          </cell>
          <cell r="BW4982">
            <v>858</v>
          </cell>
        </row>
        <row r="4983">
          <cell r="L4983" t="str">
            <v>WA2601PT51SB</v>
          </cell>
          <cell r="BW4983">
            <v>91</v>
          </cell>
        </row>
        <row r="4984">
          <cell r="L4984" t="str">
            <v>WA2601PT51SB</v>
          </cell>
          <cell r="BW4984">
            <v>164</v>
          </cell>
        </row>
        <row r="4985">
          <cell r="L4985" t="str">
            <v>WA2601PT51TC</v>
          </cell>
          <cell r="BW4985">
            <v>41</v>
          </cell>
        </row>
        <row r="4986">
          <cell r="L4986" t="str">
            <v>WA2601PT51TC</v>
          </cell>
          <cell r="BW4986">
            <v>73</v>
          </cell>
        </row>
        <row r="4987">
          <cell r="L4987" t="str">
            <v>WA2601PT52BL</v>
          </cell>
          <cell r="BW4987">
            <v>81</v>
          </cell>
        </row>
        <row r="4988">
          <cell r="L4988" t="str">
            <v>WA2601PT52BL</v>
          </cell>
          <cell r="BW4988">
            <v>184</v>
          </cell>
        </row>
        <row r="4989">
          <cell r="L4989" t="str">
            <v>WA2601PT52DG</v>
          </cell>
          <cell r="BW4989">
            <v>167</v>
          </cell>
        </row>
        <row r="4990">
          <cell r="L4990" t="str">
            <v>WA2601PT52DG</v>
          </cell>
          <cell r="BW4990">
            <v>221</v>
          </cell>
        </row>
        <row r="4991">
          <cell r="L4991" t="str">
            <v>WA2601PT64DG</v>
          </cell>
          <cell r="BW4991">
            <v>51</v>
          </cell>
        </row>
        <row r="4992">
          <cell r="L4992" t="str">
            <v>WA2601PT64DG</v>
          </cell>
          <cell r="BW4992">
            <v>93</v>
          </cell>
        </row>
        <row r="4993">
          <cell r="L4993" t="str">
            <v>WA2601PT65BK</v>
          </cell>
          <cell r="BW4993">
            <v>194</v>
          </cell>
        </row>
        <row r="4994">
          <cell r="L4994" t="str">
            <v>WA2601PT65BK</v>
          </cell>
          <cell r="BW4994">
            <v>246</v>
          </cell>
        </row>
        <row r="4995">
          <cell r="L4995" t="str">
            <v>WA2601PT65CM</v>
          </cell>
          <cell r="BW4995">
            <v>80</v>
          </cell>
        </row>
        <row r="4996">
          <cell r="L4996" t="str">
            <v>WA2601PT65CM</v>
          </cell>
          <cell r="BW4996">
            <v>148</v>
          </cell>
        </row>
        <row r="4997">
          <cell r="L4997" t="str">
            <v>WA2601PT66GR</v>
          </cell>
          <cell r="BW4997">
            <v>82</v>
          </cell>
        </row>
        <row r="4998">
          <cell r="L4998" t="str">
            <v>WA2601PT66GR</v>
          </cell>
          <cell r="BW4998">
            <v>169</v>
          </cell>
        </row>
        <row r="4999">
          <cell r="L4999" t="str">
            <v>WA2601PT72BE</v>
          </cell>
          <cell r="BW4999">
            <v>82</v>
          </cell>
        </row>
        <row r="5000">
          <cell r="L5000" t="str">
            <v>WA2601PT72BE</v>
          </cell>
          <cell r="BW5000">
            <v>161</v>
          </cell>
        </row>
        <row r="5001">
          <cell r="L5001" t="str">
            <v>WA2601PT72BL</v>
          </cell>
          <cell r="BW5001">
            <v>41</v>
          </cell>
        </row>
        <row r="5002">
          <cell r="L5002" t="str">
            <v>WA2601PT72BL</v>
          </cell>
          <cell r="BW5002">
            <v>102</v>
          </cell>
        </row>
        <row r="5003">
          <cell r="L5003" t="str">
            <v>WA2601PT72BL</v>
          </cell>
          <cell r="BW5003">
            <v>143</v>
          </cell>
        </row>
        <row r="5004">
          <cell r="L5004" t="str">
            <v>WA2601PT72LB</v>
          </cell>
          <cell r="BW5004">
            <v>66</v>
          </cell>
        </row>
        <row r="5005">
          <cell r="L5005" t="str">
            <v>WA2601PT72LB</v>
          </cell>
          <cell r="BW5005">
            <v>182</v>
          </cell>
        </row>
        <row r="5006">
          <cell r="L5006" t="str">
            <v>WA2601PT72LB</v>
          </cell>
          <cell r="BW5006">
            <v>264</v>
          </cell>
        </row>
        <row r="5007">
          <cell r="L5007" t="str">
            <v>WA2601PT75BK</v>
          </cell>
          <cell r="BW5007">
            <v>169</v>
          </cell>
        </row>
        <row r="5008">
          <cell r="L5008" t="str">
            <v>WA2601PT75BK</v>
          </cell>
          <cell r="BW5008">
            <v>239</v>
          </cell>
        </row>
        <row r="5009">
          <cell r="L5009" t="str">
            <v>WA2601PT75BL</v>
          </cell>
          <cell r="BW5009">
            <v>170</v>
          </cell>
        </row>
        <row r="5010">
          <cell r="L5010" t="str">
            <v>WA2601PT75BL</v>
          </cell>
          <cell r="BW5010">
            <v>360</v>
          </cell>
        </row>
        <row r="5011">
          <cell r="L5011" t="str">
            <v>WA2601PT76BL</v>
          </cell>
          <cell r="BW5011">
            <v>28</v>
          </cell>
        </row>
        <row r="5012">
          <cell r="L5012" t="str">
            <v>WA2601PT76BL</v>
          </cell>
          <cell r="BW5012">
            <v>137</v>
          </cell>
        </row>
        <row r="5013">
          <cell r="L5013" t="str">
            <v>WA2601PT76KH</v>
          </cell>
          <cell r="BW5013">
            <v>66</v>
          </cell>
        </row>
        <row r="5014">
          <cell r="L5014" t="str">
            <v>WA2601PT76KH</v>
          </cell>
          <cell r="BW5014">
            <v>229</v>
          </cell>
        </row>
        <row r="5015">
          <cell r="L5015" t="str">
            <v>WA2601PT81BK</v>
          </cell>
          <cell r="BW5015">
            <v>43</v>
          </cell>
        </row>
        <row r="5016">
          <cell r="L5016" t="str">
            <v>WA2601PT81BK</v>
          </cell>
          <cell r="BW5016">
            <v>59</v>
          </cell>
        </row>
        <row r="5017">
          <cell r="L5017" t="str">
            <v>WA2601PT81BK</v>
          </cell>
          <cell r="BW5017">
            <v>97</v>
          </cell>
        </row>
        <row r="5018">
          <cell r="L5018" t="str">
            <v>WA2601PT81GR</v>
          </cell>
          <cell r="BW5018">
            <v>38</v>
          </cell>
        </row>
        <row r="5019">
          <cell r="L5019" t="str">
            <v>WA2601PT81GR</v>
          </cell>
          <cell r="BW5019">
            <v>51</v>
          </cell>
        </row>
        <row r="5020">
          <cell r="L5020" t="str">
            <v>WA2601PT81GR</v>
          </cell>
          <cell r="BW5020">
            <v>91</v>
          </cell>
        </row>
        <row r="5021">
          <cell r="L5021" t="str">
            <v>WA2601PT82LG</v>
          </cell>
          <cell r="BW5021">
            <v>39</v>
          </cell>
        </row>
        <row r="5022">
          <cell r="L5022" t="str">
            <v>WA2601PT82LG</v>
          </cell>
          <cell r="BW5022">
            <v>53</v>
          </cell>
        </row>
        <row r="5023">
          <cell r="L5023" t="str">
            <v>WA2601PT82LG</v>
          </cell>
          <cell r="BW5023">
            <v>89</v>
          </cell>
        </row>
        <row r="5024">
          <cell r="L5024" t="str">
            <v>WA2601PTO1BK</v>
          </cell>
          <cell r="BW5024">
            <v>142</v>
          </cell>
        </row>
        <row r="5025">
          <cell r="L5025" t="str">
            <v>WA2601PTO1BK</v>
          </cell>
          <cell r="BW5025">
            <v>143</v>
          </cell>
        </row>
        <row r="5026">
          <cell r="L5026" t="str">
            <v>WA2601PTO1BK</v>
          </cell>
          <cell r="BW5026">
            <v>98</v>
          </cell>
        </row>
        <row r="5027">
          <cell r="L5027" t="str">
            <v>WA2601PTO1BK</v>
          </cell>
          <cell r="BW5027">
            <v>115</v>
          </cell>
        </row>
        <row r="5028">
          <cell r="L5028" t="str">
            <v>WA2601PTO1GR</v>
          </cell>
          <cell r="BW5028">
            <v>138</v>
          </cell>
        </row>
        <row r="5029">
          <cell r="L5029" t="str">
            <v>WA2601PTO1GR</v>
          </cell>
          <cell r="BW5029">
            <v>147</v>
          </cell>
        </row>
        <row r="5030">
          <cell r="L5030" t="str">
            <v>WA2601PTO1GR</v>
          </cell>
          <cell r="BW5030">
            <v>99</v>
          </cell>
        </row>
        <row r="5031">
          <cell r="L5031" t="str">
            <v>WA2601PTO1GR</v>
          </cell>
          <cell r="BW5031">
            <v>116</v>
          </cell>
        </row>
        <row r="5032">
          <cell r="L5032" t="str">
            <v>WA2601SE01BK</v>
          </cell>
          <cell r="BW5032">
            <v>355</v>
          </cell>
        </row>
        <row r="5033">
          <cell r="L5033" t="str">
            <v>WA2601SE01BK</v>
          </cell>
          <cell r="BW5033">
            <v>822</v>
          </cell>
        </row>
        <row r="5034">
          <cell r="L5034" t="str">
            <v>WA2601SE01BK</v>
          </cell>
          <cell r="BW5034">
            <v>534</v>
          </cell>
        </row>
        <row r="5035">
          <cell r="L5035" t="str">
            <v>WA2601SE01BK</v>
          </cell>
          <cell r="BW5035">
            <v>762</v>
          </cell>
        </row>
        <row r="5036">
          <cell r="L5036" t="str">
            <v>WA2601SE01BK</v>
          </cell>
          <cell r="BW5036">
            <v>460</v>
          </cell>
        </row>
        <row r="5037">
          <cell r="L5037" t="str">
            <v>WA2601SE01BK</v>
          </cell>
          <cell r="BW5037">
            <v>273</v>
          </cell>
        </row>
        <row r="5038">
          <cell r="L5038" t="str">
            <v>WA2601SE01IV</v>
          </cell>
          <cell r="BW5038">
            <v>651</v>
          </cell>
        </row>
        <row r="5039">
          <cell r="L5039" t="str">
            <v>WA2601SE01IV</v>
          </cell>
          <cell r="BW5039">
            <v>645</v>
          </cell>
        </row>
        <row r="5040">
          <cell r="L5040" t="str">
            <v>WA2601SE01IV</v>
          </cell>
          <cell r="BW5040">
            <v>355</v>
          </cell>
        </row>
        <row r="5041">
          <cell r="L5041" t="str">
            <v>WA2601SE01IV</v>
          </cell>
          <cell r="BW5041">
            <v>327</v>
          </cell>
        </row>
        <row r="5042">
          <cell r="L5042" t="str">
            <v>WA2601SE01IV</v>
          </cell>
          <cell r="BW5042">
            <v>224</v>
          </cell>
        </row>
        <row r="5043">
          <cell r="L5043" t="str">
            <v>WA2601SE01IV</v>
          </cell>
          <cell r="BW5043">
            <v>85</v>
          </cell>
        </row>
        <row r="5044">
          <cell r="L5044" t="str">
            <v>WA2601SE01LB</v>
          </cell>
          <cell r="BW5044">
            <v>358</v>
          </cell>
        </row>
        <row r="5045">
          <cell r="L5045" t="str">
            <v>WA2601SE01LB</v>
          </cell>
          <cell r="BW5045">
            <v>661</v>
          </cell>
        </row>
        <row r="5046">
          <cell r="L5046" t="str">
            <v>WA2601SE01LB</v>
          </cell>
          <cell r="BW5046">
            <v>436</v>
          </cell>
        </row>
        <row r="5047">
          <cell r="L5047" t="str">
            <v>WA2601SE01LB</v>
          </cell>
          <cell r="BW5047">
            <v>226</v>
          </cell>
        </row>
        <row r="5048">
          <cell r="L5048" t="str">
            <v>WA2601SE01LB</v>
          </cell>
          <cell r="BW5048">
            <v>154</v>
          </cell>
        </row>
        <row r="5049">
          <cell r="L5049" t="str">
            <v>WA2601SE01LB</v>
          </cell>
          <cell r="BW5049">
            <v>97</v>
          </cell>
        </row>
        <row r="5050">
          <cell r="L5050" t="str">
            <v>WA2601SE01OT</v>
          </cell>
          <cell r="BW5050">
            <v>351</v>
          </cell>
        </row>
        <row r="5051">
          <cell r="L5051" t="str">
            <v>WA2601SE01OT</v>
          </cell>
          <cell r="BW5051">
            <v>638</v>
          </cell>
        </row>
        <row r="5052">
          <cell r="L5052" t="str">
            <v>WA2601SE01OT</v>
          </cell>
          <cell r="BW5052">
            <v>424</v>
          </cell>
        </row>
        <row r="5053">
          <cell r="L5053" t="str">
            <v>WA2601SE01OT</v>
          </cell>
          <cell r="BW5053">
            <v>205</v>
          </cell>
        </row>
        <row r="5054">
          <cell r="L5054" t="str">
            <v>WA2601SE01OT</v>
          </cell>
          <cell r="BW5054">
            <v>139</v>
          </cell>
        </row>
        <row r="5055">
          <cell r="L5055" t="str">
            <v>WA2601SE01OT</v>
          </cell>
          <cell r="BW5055">
            <v>85</v>
          </cell>
        </row>
        <row r="5056">
          <cell r="L5056" t="str">
            <v>WA2601SE02BK</v>
          </cell>
          <cell r="BW5056">
            <v>207</v>
          </cell>
        </row>
        <row r="5057">
          <cell r="L5057" t="str">
            <v>WA2601SE02BK</v>
          </cell>
          <cell r="BW5057">
            <v>293</v>
          </cell>
        </row>
        <row r="5058">
          <cell r="L5058" t="str">
            <v>WA2601SE02BK</v>
          </cell>
          <cell r="BW5058">
            <v>144</v>
          </cell>
        </row>
        <row r="5059">
          <cell r="L5059" t="str">
            <v>WA2601SE02LN</v>
          </cell>
          <cell r="BW5059">
            <v>218</v>
          </cell>
        </row>
        <row r="5060">
          <cell r="L5060" t="str">
            <v>WA2601SE02LN</v>
          </cell>
          <cell r="BW5060">
            <v>308</v>
          </cell>
        </row>
        <row r="5061">
          <cell r="L5061" t="str">
            <v>WA2601SE02LN</v>
          </cell>
          <cell r="BW5061">
            <v>173</v>
          </cell>
        </row>
        <row r="5062">
          <cell r="L5062" t="str">
            <v>WA2601SE03BK</v>
          </cell>
          <cell r="BW5062">
            <v>243</v>
          </cell>
        </row>
        <row r="5063">
          <cell r="L5063" t="str">
            <v>WA2601SE03BK</v>
          </cell>
          <cell r="BW5063">
            <v>380</v>
          </cell>
        </row>
        <row r="5064">
          <cell r="L5064" t="str">
            <v>WA2601SE03BK</v>
          </cell>
          <cell r="BW5064">
            <v>259</v>
          </cell>
        </row>
        <row r="5065">
          <cell r="L5065" t="str">
            <v>WA2601SE03SV</v>
          </cell>
          <cell r="BW5065">
            <v>248</v>
          </cell>
        </row>
        <row r="5066">
          <cell r="L5066" t="str">
            <v>WA2601SE03SV</v>
          </cell>
          <cell r="BW5066">
            <v>467</v>
          </cell>
        </row>
        <row r="5067">
          <cell r="L5067" t="str">
            <v>WA2601SE03SV</v>
          </cell>
          <cell r="BW5067">
            <v>315</v>
          </cell>
        </row>
        <row r="5068">
          <cell r="L5068" t="str">
            <v>WA2601SE04BK</v>
          </cell>
          <cell r="BW5068">
            <v>120</v>
          </cell>
        </row>
        <row r="5069">
          <cell r="L5069" t="str">
            <v>WA2601SE04BK</v>
          </cell>
          <cell r="BW5069">
            <v>235</v>
          </cell>
        </row>
        <row r="5070">
          <cell r="L5070" t="str">
            <v>WA2601SE04BK</v>
          </cell>
          <cell r="BW5070">
            <v>140</v>
          </cell>
        </row>
        <row r="5071">
          <cell r="L5071" t="str">
            <v>WA2601SE04CM</v>
          </cell>
          <cell r="BW5071">
            <v>120</v>
          </cell>
        </row>
        <row r="5072">
          <cell r="L5072" t="str">
            <v>WA2601SE04CM</v>
          </cell>
          <cell r="BW5072">
            <v>234</v>
          </cell>
        </row>
        <row r="5073">
          <cell r="L5073" t="str">
            <v>WA2601SE04CM</v>
          </cell>
          <cell r="BW5073">
            <v>139</v>
          </cell>
        </row>
        <row r="5074">
          <cell r="L5074" t="str">
            <v>WA2601SH01BL</v>
          </cell>
          <cell r="BW5074">
            <v>161</v>
          </cell>
        </row>
        <row r="5075">
          <cell r="L5075" t="str">
            <v>WA2601SH01BL</v>
          </cell>
          <cell r="BW5075">
            <v>178</v>
          </cell>
        </row>
        <row r="5076">
          <cell r="L5076" t="str">
            <v>WA2601SH01BL</v>
          </cell>
          <cell r="BW5076">
            <v>157</v>
          </cell>
        </row>
        <row r="5077">
          <cell r="L5077" t="str">
            <v>WA2601SH01BL</v>
          </cell>
          <cell r="BW5077">
            <v>82</v>
          </cell>
        </row>
        <row r="5078">
          <cell r="L5078" t="str">
            <v>WA2601SH01PI</v>
          </cell>
          <cell r="BW5078">
            <v>93</v>
          </cell>
        </row>
        <row r="5079">
          <cell r="L5079" t="str">
            <v>WA2601SH01PI</v>
          </cell>
          <cell r="BW5079">
            <v>86</v>
          </cell>
        </row>
        <row r="5080">
          <cell r="L5080" t="str">
            <v>WA2601SH01PI</v>
          </cell>
          <cell r="BW5080">
            <v>90</v>
          </cell>
        </row>
        <row r="5081">
          <cell r="L5081" t="str">
            <v>WA2601SH01PI</v>
          </cell>
          <cell r="BW5081">
            <v>46</v>
          </cell>
        </row>
        <row r="5082">
          <cell r="L5082" t="str">
            <v>WA2601SH01WH</v>
          </cell>
          <cell r="BW5082">
            <v>174</v>
          </cell>
        </row>
        <row r="5083">
          <cell r="L5083" t="str">
            <v>WA2601SH01WH</v>
          </cell>
          <cell r="BW5083">
            <v>171</v>
          </cell>
        </row>
        <row r="5084">
          <cell r="L5084" t="str">
            <v>WA2601SH01WH</v>
          </cell>
          <cell r="BW5084">
            <v>159</v>
          </cell>
        </row>
        <row r="5085">
          <cell r="L5085" t="str">
            <v>WA2601SH01WH</v>
          </cell>
          <cell r="BW5085">
            <v>93</v>
          </cell>
        </row>
        <row r="5086">
          <cell r="L5086" t="str">
            <v>WA2601SH11LB</v>
          </cell>
          <cell r="BW5086">
            <v>104</v>
          </cell>
        </row>
        <row r="5087">
          <cell r="L5087" t="str">
            <v>WA2601SH11LB</v>
          </cell>
          <cell r="BW5087">
            <v>149</v>
          </cell>
        </row>
        <row r="5088">
          <cell r="L5088" t="str">
            <v>WA2601SH11LB</v>
          </cell>
          <cell r="BW5088">
            <v>99</v>
          </cell>
        </row>
        <row r="5089">
          <cell r="L5089" t="str">
            <v>WA2601SH11LB</v>
          </cell>
          <cell r="BW5089">
            <v>63</v>
          </cell>
        </row>
        <row r="5090">
          <cell r="L5090" t="str">
            <v>WA2601SH11NA</v>
          </cell>
          <cell r="BW5090">
            <v>126</v>
          </cell>
        </row>
        <row r="5091">
          <cell r="L5091" t="str">
            <v>WA2601SH11NA</v>
          </cell>
          <cell r="BW5091">
            <v>205</v>
          </cell>
        </row>
        <row r="5092">
          <cell r="L5092" t="str">
            <v>WA2601SH11NA</v>
          </cell>
          <cell r="BW5092">
            <v>139</v>
          </cell>
        </row>
        <row r="5093">
          <cell r="L5093" t="str">
            <v>WA2601SH11NA</v>
          </cell>
          <cell r="BW5093">
            <v>79</v>
          </cell>
        </row>
        <row r="5094">
          <cell r="L5094" t="str">
            <v>WA2601SH12BK</v>
          </cell>
          <cell r="BW5094">
            <v>116</v>
          </cell>
        </row>
        <row r="5095">
          <cell r="L5095" t="str">
            <v>WA2601SH12BK</v>
          </cell>
          <cell r="BW5095">
            <v>167</v>
          </cell>
        </row>
        <row r="5096">
          <cell r="L5096" t="str">
            <v>WA2601SH12BK</v>
          </cell>
          <cell r="BW5096">
            <v>104</v>
          </cell>
        </row>
        <row r="5097">
          <cell r="L5097" t="str">
            <v>WA2601SH12BK</v>
          </cell>
          <cell r="BW5097">
            <v>74</v>
          </cell>
        </row>
        <row r="5098">
          <cell r="L5098" t="str">
            <v>WA2601SH12MI</v>
          </cell>
          <cell r="BW5098">
            <v>80</v>
          </cell>
        </row>
        <row r="5099">
          <cell r="L5099" t="str">
            <v>WA2601SH12MI</v>
          </cell>
          <cell r="BW5099">
            <v>99</v>
          </cell>
        </row>
        <row r="5100">
          <cell r="L5100" t="str">
            <v>WA2601SH12MI</v>
          </cell>
          <cell r="BW5100">
            <v>47</v>
          </cell>
        </row>
        <row r="5101">
          <cell r="L5101" t="str">
            <v>WA2601SH12MI</v>
          </cell>
          <cell r="BW5101">
            <v>56</v>
          </cell>
        </row>
        <row r="5102">
          <cell r="L5102" t="str">
            <v>WA2601SH13NA</v>
          </cell>
          <cell r="BW5102">
            <v>46</v>
          </cell>
        </row>
        <row r="5103">
          <cell r="L5103" t="str">
            <v>WA2601SH13NA</v>
          </cell>
          <cell r="BW5103">
            <v>100</v>
          </cell>
        </row>
        <row r="5104">
          <cell r="L5104" t="str">
            <v>WA2601SH13NA</v>
          </cell>
          <cell r="BW5104">
            <v>76</v>
          </cell>
        </row>
        <row r="5105">
          <cell r="L5105" t="str">
            <v>WA2601SH13PI</v>
          </cell>
          <cell r="BW5105">
            <v>63</v>
          </cell>
        </row>
        <row r="5106">
          <cell r="L5106" t="str">
            <v>WA2601SH13PI</v>
          </cell>
          <cell r="BW5106">
            <v>106</v>
          </cell>
        </row>
        <row r="5107">
          <cell r="L5107" t="str">
            <v>WA2601SH13PI</v>
          </cell>
          <cell r="BW5107">
            <v>68</v>
          </cell>
        </row>
        <row r="5108">
          <cell r="L5108" t="str">
            <v>WA2601SH31BK</v>
          </cell>
          <cell r="BW5108">
            <v>114</v>
          </cell>
        </row>
        <row r="5109">
          <cell r="L5109" t="str">
            <v>WA2601SH31BK</v>
          </cell>
          <cell r="BW5109">
            <v>107</v>
          </cell>
        </row>
        <row r="5110">
          <cell r="L5110" t="str">
            <v>WA2601SH31BK</v>
          </cell>
          <cell r="BW5110">
            <v>112</v>
          </cell>
        </row>
        <row r="5111">
          <cell r="L5111" t="str">
            <v>WA2601SH31BK</v>
          </cell>
          <cell r="BW5111">
            <v>50</v>
          </cell>
        </row>
        <row r="5112">
          <cell r="L5112" t="str">
            <v>WA2601SH31BL</v>
          </cell>
          <cell r="BW5112">
            <v>79</v>
          </cell>
        </row>
        <row r="5113">
          <cell r="L5113" t="str">
            <v>WA2601SH31BL</v>
          </cell>
          <cell r="BW5113">
            <v>111</v>
          </cell>
        </row>
        <row r="5114">
          <cell r="L5114" t="str">
            <v>WA2601SH31BL</v>
          </cell>
          <cell r="BW5114">
            <v>116</v>
          </cell>
        </row>
        <row r="5115">
          <cell r="L5115" t="str">
            <v>WA2601SH31BL</v>
          </cell>
          <cell r="BW5115">
            <v>51</v>
          </cell>
        </row>
        <row r="5116">
          <cell r="L5116" t="str">
            <v>WA2601SH61PI</v>
          </cell>
          <cell r="BW5116">
            <v>144</v>
          </cell>
        </row>
        <row r="5117">
          <cell r="L5117" t="str">
            <v>WA2601SH61SB</v>
          </cell>
          <cell r="BW5117">
            <v>136</v>
          </cell>
        </row>
        <row r="5118">
          <cell r="L5118" t="str">
            <v>WA2601SH61WH</v>
          </cell>
          <cell r="BW5118">
            <v>290</v>
          </cell>
        </row>
        <row r="5119">
          <cell r="L5119" t="str">
            <v>WA2601SH62BL</v>
          </cell>
          <cell r="BW5119">
            <v>59</v>
          </cell>
        </row>
        <row r="5120">
          <cell r="L5120" t="str">
            <v>WA2601SH62GN</v>
          </cell>
          <cell r="BW5120">
            <v>344</v>
          </cell>
        </row>
        <row r="5121">
          <cell r="L5121" t="str">
            <v>WA2601SN01BK</v>
          </cell>
          <cell r="BW5121">
            <v>116</v>
          </cell>
        </row>
        <row r="5122">
          <cell r="L5122" t="str">
            <v>WA2601SN01BK</v>
          </cell>
          <cell r="BW5122">
            <v>255</v>
          </cell>
        </row>
        <row r="5123">
          <cell r="L5123" t="str">
            <v>WA2601SN01BK</v>
          </cell>
          <cell r="BW5123">
            <v>144</v>
          </cell>
        </row>
        <row r="5124">
          <cell r="L5124" t="str">
            <v>WA2601SN01BK</v>
          </cell>
          <cell r="BW5124">
            <v>97</v>
          </cell>
        </row>
        <row r="5125">
          <cell r="L5125" t="str">
            <v>WA2601SN01BK</v>
          </cell>
          <cell r="BW5125">
            <v>85</v>
          </cell>
        </row>
        <row r="5126">
          <cell r="L5126" t="str">
            <v>WA2601SN01BK</v>
          </cell>
          <cell r="BW5126">
            <v>46</v>
          </cell>
        </row>
        <row r="5127">
          <cell r="L5127" t="str">
            <v>WA2601SN01CE</v>
          </cell>
          <cell r="BW5127">
            <v>115</v>
          </cell>
        </row>
        <row r="5128">
          <cell r="L5128" t="str">
            <v>WA2601SN01CE</v>
          </cell>
          <cell r="BW5128">
            <v>239</v>
          </cell>
        </row>
        <row r="5129">
          <cell r="L5129" t="str">
            <v>WA2601SN01CE</v>
          </cell>
          <cell r="BW5129">
            <v>142</v>
          </cell>
        </row>
        <row r="5130">
          <cell r="L5130" t="str">
            <v>WA2601SN01CE</v>
          </cell>
          <cell r="BW5130">
            <v>101</v>
          </cell>
        </row>
        <row r="5131">
          <cell r="L5131" t="str">
            <v>WA2601SN01CE</v>
          </cell>
          <cell r="BW5131">
            <v>89</v>
          </cell>
        </row>
        <row r="5132">
          <cell r="L5132" t="str">
            <v>WA2601SN01CE</v>
          </cell>
          <cell r="BW5132">
            <v>49</v>
          </cell>
        </row>
        <row r="5133">
          <cell r="L5133" t="str">
            <v>WA2601SN01EC</v>
          </cell>
          <cell r="BW5133">
            <v>126</v>
          </cell>
        </row>
        <row r="5134">
          <cell r="L5134" t="str">
            <v>WA2601SN01EC</v>
          </cell>
          <cell r="BW5134">
            <v>267</v>
          </cell>
        </row>
        <row r="5135">
          <cell r="L5135" t="str">
            <v>WA2601SN01EC</v>
          </cell>
          <cell r="BW5135">
            <v>148</v>
          </cell>
        </row>
        <row r="5136">
          <cell r="L5136" t="str">
            <v>WA2601SN02BK</v>
          </cell>
          <cell r="BW5136">
            <v>112</v>
          </cell>
        </row>
        <row r="5137">
          <cell r="L5137" t="str">
            <v>WA2601SN02BK</v>
          </cell>
          <cell r="BW5137">
            <v>211</v>
          </cell>
        </row>
        <row r="5138">
          <cell r="L5138" t="str">
            <v>WA2601SN02BK</v>
          </cell>
          <cell r="BW5138">
            <v>121</v>
          </cell>
        </row>
        <row r="5139">
          <cell r="L5139" t="str">
            <v>WA2601SN02SV</v>
          </cell>
          <cell r="BW5139">
            <v>107</v>
          </cell>
        </row>
        <row r="5140">
          <cell r="L5140" t="str">
            <v>WA2601SN02SV</v>
          </cell>
          <cell r="BW5140">
            <v>206</v>
          </cell>
        </row>
        <row r="5141">
          <cell r="L5141" t="str">
            <v>WA2601SN02SV</v>
          </cell>
          <cell r="BW5141">
            <v>113</v>
          </cell>
        </row>
        <row r="5142">
          <cell r="L5142" t="str">
            <v>WA2601SN04BK</v>
          </cell>
          <cell r="BW5142">
            <v>136</v>
          </cell>
        </row>
        <row r="5143">
          <cell r="L5143" t="str">
            <v>WA2601SN04BK</v>
          </cell>
          <cell r="BW5143">
            <v>277</v>
          </cell>
        </row>
        <row r="5144">
          <cell r="L5144" t="str">
            <v>WA2601SN04BK</v>
          </cell>
          <cell r="BW5144">
            <v>161</v>
          </cell>
        </row>
        <row r="5145">
          <cell r="L5145" t="str">
            <v>WA2601SN04GR</v>
          </cell>
          <cell r="BW5145">
            <v>118</v>
          </cell>
        </row>
        <row r="5146">
          <cell r="L5146" t="str">
            <v>WA2601SN04GR</v>
          </cell>
          <cell r="BW5146">
            <v>276</v>
          </cell>
        </row>
        <row r="5147">
          <cell r="L5147" t="str">
            <v>WA2601SN04GR</v>
          </cell>
          <cell r="BW5147">
            <v>168</v>
          </cell>
        </row>
        <row r="5148">
          <cell r="L5148" t="str">
            <v>WA2601SN04KH</v>
          </cell>
          <cell r="BW5148">
            <v>82</v>
          </cell>
        </row>
        <row r="5149">
          <cell r="L5149" t="str">
            <v>WA2601SN04KH</v>
          </cell>
          <cell r="BW5149">
            <v>183</v>
          </cell>
        </row>
        <row r="5150">
          <cell r="L5150" t="str">
            <v>WA2601SN04KH</v>
          </cell>
          <cell r="BW5150">
            <v>94</v>
          </cell>
        </row>
        <row r="5151">
          <cell r="L5151" t="str">
            <v>WA2601SN05CE</v>
          </cell>
          <cell r="BW5151">
            <v>144</v>
          </cell>
        </row>
        <row r="5152">
          <cell r="L5152" t="str">
            <v>WA2601SN05CE</v>
          </cell>
          <cell r="BW5152">
            <v>365</v>
          </cell>
        </row>
        <row r="5153">
          <cell r="L5153" t="str">
            <v>WA2601SN05CE</v>
          </cell>
          <cell r="BW5153">
            <v>173</v>
          </cell>
        </row>
        <row r="5154">
          <cell r="L5154" t="str">
            <v>WA2601SN05CE</v>
          </cell>
          <cell r="BW5154">
            <v>135</v>
          </cell>
        </row>
        <row r="5155">
          <cell r="L5155" t="str">
            <v>WA2601SN05CE</v>
          </cell>
          <cell r="BW5155">
            <v>146</v>
          </cell>
        </row>
        <row r="5156">
          <cell r="L5156" t="str">
            <v>WA2601SN05CE</v>
          </cell>
          <cell r="BW5156">
            <v>73</v>
          </cell>
        </row>
        <row r="5157">
          <cell r="L5157" t="str">
            <v>WA2601SN05EC</v>
          </cell>
          <cell r="BW5157">
            <v>131</v>
          </cell>
        </row>
        <row r="5158">
          <cell r="L5158" t="str">
            <v>WA2601SN05EC</v>
          </cell>
          <cell r="BW5158">
            <v>261</v>
          </cell>
        </row>
        <row r="5159">
          <cell r="L5159" t="str">
            <v>WA2601SN05EC</v>
          </cell>
          <cell r="BW5159">
            <v>146</v>
          </cell>
        </row>
        <row r="5160">
          <cell r="L5160" t="str">
            <v>WA2601SN05EC</v>
          </cell>
          <cell r="BW5160">
            <v>81</v>
          </cell>
        </row>
        <row r="5161">
          <cell r="L5161" t="str">
            <v>WA2601SN05EC</v>
          </cell>
          <cell r="BW5161">
            <v>58</v>
          </cell>
        </row>
        <row r="5162">
          <cell r="L5162" t="str">
            <v>WA2601SN05EC</v>
          </cell>
          <cell r="BW5162">
            <v>25</v>
          </cell>
        </row>
        <row r="5163">
          <cell r="L5163" t="str">
            <v>WA2601SR75BL</v>
          </cell>
          <cell r="BW5163">
            <v>114</v>
          </cell>
        </row>
        <row r="5164">
          <cell r="L5164" t="str">
            <v>WA2601SR75BL</v>
          </cell>
          <cell r="BW5164">
            <v>260</v>
          </cell>
        </row>
        <row r="5165">
          <cell r="L5165" t="str">
            <v>WA2601SR75IN</v>
          </cell>
          <cell r="BW5165">
            <v>52</v>
          </cell>
        </row>
        <row r="5166">
          <cell r="L5166" t="str">
            <v>WA2601SR75IN</v>
          </cell>
          <cell r="BW5166">
            <v>115</v>
          </cell>
        </row>
        <row r="5167">
          <cell r="L5167" t="str">
            <v>WA2601TC01YE</v>
          </cell>
          <cell r="BW5167">
            <v>471</v>
          </cell>
        </row>
        <row r="5168">
          <cell r="L5168" t="str">
            <v>WA2601TC02YE</v>
          </cell>
          <cell r="BW5168">
            <v>2256</v>
          </cell>
        </row>
        <row r="5169">
          <cell r="L5169" t="str">
            <v>WA2601TC03BK</v>
          </cell>
          <cell r="BW5169">
            <v>726</v>
          </cell>
        </row>
        <row r="5170">
          <cell r="L5170" t="str">
            <v>WA2601TC03BL</v>
          </cell>
          <cell r="BW5170">
            <v>96</v>
          </cell>
        </row>
        <row r="5171">
          <cell r="L5171" t="str">
            <v>WA2601TC03PI</v>
          </cell>
          <cell r="BW5171">
            <v>132</v>
          </cell>
        </row>
        <row r="5172">
          <cell r="L5172" t="str">
            <v>WA2601TC05BL</v>
          </cell>
          <cell r="BW5172">
            <v>570</v>
          </cell>
        </row>
        <row r="5173">
          <cell r="L5173" t="str">
            <v>WA2601TC05BR</v>
          </cell>
          <cell r="BW5173">
            <v>1163</v>
          </cell>
        </row>
        <row r="5174">
          <cell r="L5174" t="str">
            <v>WA2601TC05PI</v>
          </cell>
          <cell r="BW5174">
            <v>687</v>
          </cell>
        </row>
        <row r="5175">
          <cell r="L5175" t="str">
            <v>WA2601TC06BK</v>
          </cell>
          <cell r="BW5175">
            <v>1092</v>
          </cell>
        </row>
        <row r="5176">
          <cell r="L5176" t="str">
            <v>WA2601TC06IV</v>
          </cell>
          <cell r="BW5176">
            <v>159</v>
          </cell>
        </row>
        <row r="5177">
          <cell r="L5177" t="str">
            <v>WA2601TC07BL</v>
          </cell>
          <cell r="BW5177">
            <v>576</v>
          </cell>
        </row>
        <row r="5178">
          <cell r="L5178" t="str">
            <v>WA2601TC07BR</v>
          </cell>
          <cell r="BW5178">
            <v>0</v>
          </cell>
        </row>
        <row r="5179">
          <cell r="L5179" t="str">
            <v>WA2601TC07YE</v>
          </cell>
          <cell r="BW5179">
            <v>651</v>
          </cell>
        </row>
        <row r="5180">
          <cell r="L5180" t="str">
            <v>WA2601TC08BK</v>
          </cell>
          <cell r="BW5180">
            <v>423</v>
          </cell>
        </row>
        <row r="5181">
          <cell r="L5181" t="str">
            <v>WA2601TC08WH</v>
          </cell>
          <cell r="BW5181">
            <v>396</v>
          </cell>
        </row>
        <row r="5182">
          <cell r="L5182" t="str">
            <v>WA2601TC09BK</v>
          </cell>
          <cell r="BW5182">
            <v>450</v>
          </cell>
        </row>
        <row r="5183">
          <cell r="L5183" t="str">
            <v>WA2601TC09PU</v>
          </cell>
          <cell r="BW5183">
            <v>479</v>
          </cell>
        </row>
        <row r="5184">
          <cell r="L5184" t="str">
            <v>WA2601TC10BK</v>
          </cell>
          <cell r="BW5184">
            <v>230</v>
          </cell>
        </row>
        <row r="5185">
          <cell r="L5185" t="str">
            <v>WA2601TC10MI</v>
          </cell>
          <cell r="BW5185">
            <v>211</v>
          </cell>
        </row>
        <row r="5186">
          <cell r="L5186" t="str">
            <v>WA2601TC12SV</v>
          </cell>
          <cell r="BW5186">
            <v>334</v>
          </cell>
        </row>
        <row r="5187">
          <cell r="L5187" t="str">
            <v>WA2601TC12YE</v>
          </cell>
          <cell r="BW5187">
            <v>262</v>
          </cell>
        </row>
        <row r="5188">
          <cell r="L5188" t="str">
            <v>WA2601TC13BK</v>
          </cell>
          <cell r="BW5188">
            <v>815</v>
          </cell>
        </row>
        <row r="5189">
          <cell r="L5189" t="str">
            <v>WA2601TC13PU</v>
          </cell>
          <cell r="BW5189">
            <v>410</v>
          </cell>
        </row>
        <row r="5190">
          <cell r="L5190" t="str">
            <v>WA2601TC13YE</v>
          </cell>
          <cell r="BW5190">
            <v>893</v>
          </cell>
        </row>
        <row r="5191">
          <cell r="L5191" t="str">
            <v>WA2601TC14TC</v>
          </cell>
          <cell r="BW5191">
            <v>1143</v>
          </cell>
        </row>
        <row r="5192">
          <cell r="L5192" t="str">
            <v>WA2601TC15PI</v>
          </cell>
          <cell r="BW5192">
            <v>347</v>
          </cell>
        </row>
        <row r="5193">
          <cell r="L5193" t="str">
            <v>WA2601TC15PU</v>
          </cell>
          <cell r="BW5193">
            <v>389</v>
          </cell>
        </row>
        <row r="5194">
          <cell r="L5194" t="str">
            <v>WA2601TC15WH</v>
          </cell>
          <cell r="BW5194">
            <v>342</v>
          </cell>
        </row>
        <row r="5195">
          <cell r="L5195" t="str">
            <v>WA2601TC16TC</v>
          </cell>
          <cell r="BW5195">
            <v>689</v>
          </cell>
        </row>
        <row r="5196">
          <cell r="L5196" t="str">
            <v>WA2601TC17BL</v>
          </cell>
          <cell r="BW5196">
            <v>547</v>
          </cell>
        </row>
        <row r="5197">
          <cell r="L5197" t="str">
            <v>WA2601TC17IV</v>
          </cell>
          <cell r="BW5197">
            <v>357</v>
          </cell>
        </row>
        <row r="5198">
          <cell r="L5198" t="str">
            <v>WA2601TC18TC</v>
          </cell>
          <cell r="BW5198">
            <v>1602</v>
          </cell>
        </row>
        <row r="5199">
          <cell r="L5199" t="str">
            <v>WA2601TC19TC</v>
          </cell>
          <cell r="BW5199">
            <v>2695</v>
          </cell>
        </row>
        <row r="5200">
          <cell r="L5200" t="str">
            <v>WA2601TC20BK</v>
          </cell>
          <cell r="BW5200">
            <v>850</v>
          </cell>
        </row>
        <row r="5201">
          <cell r="L5201" t="str">
            <v>WA2601TC20PU</v>
          </cell>
          <cell r="BW5201">
            <v>915</v>
          </cell>
        </row>
        <row r="5202">
          <cell r="L5202" t="str">
            <v>WA2601TC21BK</v>
          </cell>
          <cell r="BW5202">
            <v>386</v>
          </cell>
        </row>
        <row r="5203">
          <cell r="L5203" t="str">
            <v>WA2601TC21SV</v>
          </cell>
          <cell r="BW5203">
            <v>334</v>
          </cell>
        </row>
        <row r="5204">
          <cell r="L5204" t="str">
            <v>WA2601TC22BL</v>
          </cell>
          <cell r="BW5204">
            <v>304</v>
          </cell>
        </row>
        <row r="5205">
          <cell r="L5205" t="str">
            <v>WA2601TC22YE</v>
          </cell>
          <cell r="BW5205">
            <v>354</v>
          </cell>
        </row>
        <row r="5206">
          <cell r="L5206" t="str">
            <v>WA2601TC23KH</v>
          </cell>
          <cell r="BW5206">
            <v>480</v>
          </cell>
        </row>
        <row r="5207">
          <cell r="L5207" t="str">
            <v>WA2601TC23SB</v>
          </cell>
          <cell r="BW5207">
            <v>492</v>
          </cell>
        </row>
        <row r="5208">
          <cell r="L5208" t="str">
            <v>WA2601TC24BL</v>
          </cell>
          <cell r="BW5208">
            <v>1681</v>
          </cell>
        </row>
        <row r="5209">
          <cell r="L5209" t="str">
            <v>WA2601TC25BL</v>
          </cell>
          <cell r="BW5209">
            <v>1010</v>
          </cell>
        </row>
        <row r="5210">
          <cell r="L5210" t="str">
            <v>WA2601TC26BL</v>
          </cell>
          <cell r="BW5210">
            <v>413</v>
          </cell>
        </row>
        <row r="5211">
          <cell r="L5211" t="str">
            <v>WA2601TC26BR</v>
          </cell>
          <cell r="BW5211">
            <v>428</v>
          </cell>
        </row>
        <row r="5212">
          <cell r="L5212" t="str">
            <v>WA2601TC26WH</v>
          </cell>
          <cell r="BW5212">
            <v>390</v>
          </cell>
        </row>
        <row r="5213">
          <cell r="L5213" t="str">
            <v>WA2601TC27BL</v>
          </cell>
          <cell r="BW5213">
            <v>159</v>
          </cell>
        </row>
        <row r="5214">
          <cell r="L5214" t="str">
            <v>WA2601TC27GR</v>
          </cell>
          <cell r="BW5214">
            <v>151</v>
          </cell>
        </row>
        <row r="5215">
          <cell r="L5215" t="str">
            <v>WA2601TC27RD</v>
          </cell>
          <cell r="BW5215">
            <v>198</v>
          </cell>
        </row>
        <row r="5216">
          <cell r="L5216" t="str">
            <v>WA2601TC27WH</v>
          </cell>
          <cell r="BW5216">
            <v>197</v>
          </cell>
        </row>
        <row r="5217">
          <cell r="L5217" t="str">
            <v>WA2601TC28BL</v>
          </cell>
          <cell r="BW5217">
            <v>366</v>
          </cell>
        </row>
        <row r="5218">
          <cell r="L5218" t="str">
            <v>WA2601TC28OG</v>
          </cell>
          <cell r="BW5218">
            <v>412</v>
          </cell>
        </row>
        <row r="5219">
          <cell r="L5219" t="str">
            <v>WA2601TC29WH</v>
          </cell>
          <cell r="BW5219">
            <v>52</v>
          </cell>
        </row>
        <row r="5220">
          <cell r="L5220" t="str">
            <v>WA2601TC29WH</v>
          </cell>
          <cell r="BW5220">
            <v>25</v>
          </cell>
        </row>
        <row r="5221">
          <cell r="L5221" t="str">
            <v>WA2601TC30WH</v>
          </cell>
          <cell r="BW5221">
            <v>42</v>
          </cell>
        </row>
        <row r="5222">
          <cell r="L5222" t="str">
            <v>WA2601TC32WH</v>
          </cell>
          <cell r="BW5222">
            <v>162</v>
          </cell>
        </row>
        <row r="5223">
          <cell r="L5223" t="str">
            <v>WA2601TC32WH</v>
          </cell>
          <cell r="BW5223">
            <v>181</v>
          </cell>
        </row>
        <row r="5224">
          <cell r="L5224" t="str">
            <v>WA2601TC34WH</v>
          </cell>
          <cell r="BW5224">
            <v>299</v>
          </cell>
        </row>
        <row r="5225">
          <cell r="L5225" t="str">
            <v>WA2601TC36TC</v>
          </cell>
          <cell r="BW5225">
            <v>596</v>
          </cell>
        </row>
        <row r="5226">
          <cell r="L5226" t="str">
            <v>WA2601TC61WH</v>
          </cell>
          <cell r="BW5226">
            <v>461</v>
          </cell>
        </row>
        <row r="5227">
          <cell r="L5227" t="str">
            <v>WA2601TC62BL</v>
          </cell>
          <cell r="BW5227">
            <v>498</v>
          </cell>
        </row>
        <row r="5228">
          <cell r="L5228" t="str">
            <v>WA2601TC62GR</v>
          </cell>
          <cell r="BW5228">
            <v>496</v>
          </cell>
        </row>
        <row r="5229">
          <cell r="L5229" t="str">
            <v>WA2601TC71BR</v>
          </cell>
          <cell r="BW5229">
            <v>0</v>
          </cell>
        </row>
        <row r="5230">
          <cell r="L5230" t="str">
            <v>WA2601TC81BR</v>
          </cell>
          <cell r="BW5230">
            <v>0</v>
          </cell>
        </row>
        <row r="5231">
          <cell r="L5231" t="str">
            <v>WA2601TC82TC</v>
          </cell>
          <cell r="BW5231">
            <v>464</v>
          </cell>
        </row>
        <row r="5232">
          <cell r="L5232" t="str">
            <v>WA2601TC83TC</v>
          </cell>
          <cell r="BW5232">
            <v>448</v>
          </cell>
        </row>
        <row r="5233">
          <cell r="L5233" t="str">
            <v>WA2601TC84TC</v>
          </cell>
          <cell r="BW5233">
            <v>472</v>
          </cell>
        </row>
        <row r="5234">
          <cell r="L5234" t="str">
            <v>WA2601TCR1BK</v>
          </cell>
          <cell r="BW5234">
            <v>148</v>
          </cell>
        </row>
        <row r="5235">
          <cell r="L5235" t="str">
            <v>WA2601TCR2BK</v>
          </cell>
          <cell r="BW5235">
            <v>46</v>
          </cell>
        </row>
        <row r="5236">
          <cell r="L5236" t="str">
            <v>WA2601TCR3BT</v>
          </cell>
          <cell r="BW5236">
            <v>146</v>
          </cell>
        </row>
        <row r="5237">
          <cell r="L5237" t="str">
            <v>WA2602CD52GR</v>
          </cell>
          <cell r="BW5237">
            <v>141</v>
          </cell>
        </row>
        <row r="5238">
          <cell r="L5238" t="str">
            <v>WA2602CD52GR</v>
          </cell>
          <cell r="BW5238">
            <v>276</v>
          </cell>
        </row>
        <row r="5239">
          <cell r="L5239" t="str">
            <v>WA2602CD52GR</v>
          </cell>
          <cell r="BW5239">
            <v>185</v>
          </cell>
        </row>
        <row r="5240">
          <cell r="L5240" t="str">
            <v>WA2602CD52LY</v>
          </cell>
          <cell r="BW5240">
            <v>156</v>
          </cell>
        </row>
        <row r="5241">
          <cell r="L5241" t="str">
            <v>WA2602CD52LY</v>
          </cell>
          <cell r="BW5241">
            <v>193</v>
          </cell>
        </row>
        <row r="5242">
          <cell r="L5242" t="str">
            <v>WA2602CD52RD</v>
          </cell>
          <cell r="BW5242">
            <v>90</v>
          </cell>
        </row>
        <row r="5243">
          <cell r="L5243" t="str">
            <v>WA2602CD52RD</v>
          </cell>
          <cell r="BW5243">
            <v>183</v>
          </cell>
        </row>
        <row r="5244">
          <cell r="L5244" t="str">
            <v>WA2602CD52RD</v>
          </cell>
          <cell r="BW5244">
            <v>89</v>
          </cell>
        </row>
        <row r="5245">
          <cell r="L5245" t="str">
            <v>WA2602CD52WH</v>
          </cell>
          <cell r="BW5245">
            <v>46</v>
          </cell>
        </row>
        <row r="5246">
          <cell r="L5246" t="str">
            <v>WA2602CD52WH</v>
          </cell>
          <cell r="BW5246">
            <v>154</v>
          </cell>
        </row>
        <row r="5247">
          <cell r="L5247" t="str">
            <v>WA2602CD52WH</v>
          </cell>
          <cell r="BW5247">
            <v>238</v>
          </cell>
        </row>
        <row r="5248">
          <cell r="L5248" t="str">
            <v>WA2602CD66BK</v>
          </cell>
          <cell r="BW5248">
            <v>138</v>
          </cell>
        </row>
        <row r="5249">
          <cell r="L5249" t="str">
            <v>WA2602CD66BK</v>
          </cell>
          <cell r="BW5249">
            <v>87</v>
          </cell>
        </row>
        <row r="5250">
          <cell r="L5250" t="str">
            <v>WA2602CD66SB</v>
          </cell>
          <cell r="BW5250">
            <v>105</v>
          </cell>
        </row>
        <row r="5251">
          <cell r="L5251" t="str">
            <v>WA2602CD66SB</v>
          </cell>
          <cell r="BW5251">
            <v>112</v>
          </cell>
        </row>
        <row r="5252">
          <cell r="L5252" t="str">
            <v>WA2602CD66WH</v>
          </cell>
          <cell r="BW5252">
            <v>234</v>
          </cell>
        </row>
        <row r="5253">
          <cell r="L5253" t="str">
            <v>WA2602CD66WH</v>
          </cell>
          <cell r="BW5253">
            <v>234</v>
          </cell>
        </row>
        <row r="5254">
          <cell r="L5254" t="str">
            <v>WA2602JK11BK</v>
          </cell>
          <cell r="BW5254">
            <v>361</v>
          </cell>
        </row>
        <row r="5255">
          <cell r="L5255" t="str">
            <v>WA2602JK11BK</v>
          </cell>
          <cell r="BW5255">
            <v>326</v>
          </cell>
        </row>
        <row r="5256">
          <cell r="L5256" t="str">
            <v>WA2602JK11BK</v>
          </cell>
          <cell r="BW5256">
            <v>282</v>
          </cell>
        </row>
        <row r="5257">
          <cell r="L5257" t="str">
            <v>WA2602JK11BK</v>
          </cell>
          <cell r="BW5257">
            <v>303</v>
          </cell>
        </row>
        <row r="5258">
          <cell r="L5258" t="str">
            <v>WA2602JK11LG</v>
          </cell>
          <cell r="BW5258">
            <v>246</v>
          </cell>
        </row>
        <row r="5259">
          <cell r="L5259" t="str">
            <v>WA2602JK11LG</v>
          </cell>
          <cell r="BW5259">
            <v>253</v>
          </cell>
        </row>
        <row r="5260">
          <cell r="L5260" t="str">
            <v>WA2602JK11LG</v>
          </cell>
          <cell r="BW5260">
            <v>163</v>
          </cell>
        </row>
        <row r="5261">
          <cell r="L5261" t="str">
            <v>WA2602JK11LG</v>
          </cell>
          <cell r="BW5261">
            <v>146</v>
          </cell>
        </row>
        <row r="5262">
          <cell r="L5262" t="str">
            <v>WA2602JK11MI</v>
          </cell>
          <cell r="BW5262">
            <v>96</v>
          </cell>
        </row>
        <row r="5263">
          <cell r="L5263" t="str">
            <v>WA2602JK11MI</v>
          </cell>
          <cell r="BW5263">
            <v>86</v>
          </cell>
        </row>
        <row r="5264">
          <cell r="L5264" t="str">
            <v>WA2602JK11MI</v>
          </cell>
          <cell r="BW5264">
            <v>56</v>
          </cell>
        </row>
        <row r="5265">
          <cell r="L5265" t="str">
            <v>WA2602JK11MI</v>
          </cell>
          <cell r="BW5265">
            <v>68</v>
          </cell>
        </row>
        <row r="5266">
          <cell r="L5266" t="str">
            <v>WA2602JK13BK</v>
          </cell>
          <cell r="BW5266">
            <v>194</v>
          </cell>
        </row>
        <row r="5267">
          <cell r="L5267" t="str">
            <v>WA2602JK13BK</v>
          </cell>
          <cell r="BW5267">
            <v>207</v>
          </cell>
        </row>
        <row r="5268">
          <cell r="L5268" t="str">
            <v>WA2602JK13BK</v>
          </cell>
          <cell r="BW5268">
            <v>146</v>
          </cell>
        </row>
        <row r="5269">
          <cell r="L5269" t="str">
            <v>WA2602JK13BK</v>
          </cell>
          <cell r="BW5269">
            <v>132</v>
          </cell>
        </row>
        <row r="5270">
          <cell r="L5270" t="str">
            <v>WA2602JK13MI</v>
          </cell>
          <cell r="BW5270">
            <v>52</v>
          </cell>
        </row>
        <row r="5271">
          <cell r="L5271" t="str">
            <v>WA2602JK13MI</v>
          </cell>
          <cell r="BW5271">
            <v>55</v>
          </cell>
        </row>
        <row r="5272">
          <cell r="L5272" t="str">
            <v>WA2602JK13MI</v>
          </cell>
          <cell r="BW5272">
            <v>42</v>
          </cell>
        </row>
        <row r="5273">
          <cell r="L5273" t="str">
            <v>WA2602JK13MI</v>
          </cell>
          <cell r="BW5273">
            <v>33</v>
          </cell>
        </row>
        <row r="5274">
          <cell r="L5274" t="str">
            <v>WA2602JK33BK</v>
          </cell>
          <cell r="BW5274">
            <v>232</v>
          </cell>
        </row>
        <row r="5275">
          <cell r="L5275" t="str">
            <v>WA2602JK33BK</v>
          </cell>
          <cell r="BW5275">
            <v>246</v>
          </cell>
        </row>
        <row r="5276">
          <cell r="L5276" t="str">
            <v>WA2602JK33BK</v>
          </cell>
          <cell r="BW5276">
            <v>228</v>
          </cell>
        </row>
        <row r="5277">
          <cell r="L5277" t="str">
            <v>WA2602JK33BK</v>
          </cell>
          <cell r="BW5277">
            <v>164</v>
          </cell>
        </row>
        <row r="5278">
          <cell r="L5278" t="str">
            <v>WA2602JK33IN</v>
          </cell>
          <cell r="BW5278">
            <v>153</v>
          </cell>
        </row>
        <row r="5279">
          <cell r="L5279" t="str">
            <v>WA2602JK33IN</v>
          </cell>
          <cell r="BW5279">
            <v>166</v>
          </cell>
        </row>
        <row r="5280">
          <cell r="L5280" t="str">
            <v>WA2602JK33IN</v>
          </cell>
          <cell r="BW5280">
            <v>152</v>
          </cell>
        </row>
        <row r="5281">
          <cell r="L5281" t="str">
            <v>WA2602JK33IN</v>
          </cell>
          <cell r="BW5281">
            <v>109</v>
          </cell>
        </row>
        <row r="5282">
          <cell r="L5282" t="str">
            <v>WA2602JK67LG</v>
          </cell>
          <cell r="BW5282">
            <v>89</v>
          </cell>
        </row>
        <row r="5283">
          <cell r="L5283" t="str">
            <v>WA2602JK67LG</v>
          </cell>
          <cell r="BW5283">
            <v>85</v>
          </cell>
        </row>
        <row r="5284">
          <cell r="L5284" t="str">
            <v>WA2602JK67LP</v>
          </cell>
          <cell r="BW5284">
            <v>112</v>
          </cell>
        </row>
        <row r="5285">
          <cell r="L5285" t="str">
            <v>WA2602JK67LP</v>
          </cell>
          <cell r="BW5285">
            <v>118</v>
          </cell>
        </row>
        <row r="5286">
          <cell r="L5286" t="str">
            <v>WA2602JK67WH</v>
          </cell>
          <cell r="BW5286">
            <v>271</v>
          </cell>
        </row>
        <row r="5287">
          <cell r="L5287" t="str">
            <v>WA2602JK67WH</v>
          </cell>
          <cell r="BW5287">
            <v>282</v>
          </cell>
        </row>
        <row r="5288">
          <cell r="L5288" t="str">
            <v>WA2602JK69CM</v>
          </cell>
          <cell r="BW5288">
            <v>182</v>
          </cell>
        </row>
        <row r="5289">
          <cell r="L5289" t="str">
            <v>WA2602JK69NA</v>
          </cell>
          <cell r="BW5289">
            <v>233</v>
          </cell>
        </row>
        <row r="5290">
          <cell r="L5290" t="str">
            <v>WA2602JK70SB</v>
          </cell>
          <cell r="BW5290">
            <v>345</v>
          </cell>
        </row>
        <row r="5291">
          <cell r="L5291" t="str">
            <v>WA2602JK70WH</v>
          </cell>
          <cell r="BW5291">
            <v>358</v>
          </cell>
        </row>
        <row r="5292">
          <cell r="L5292" t="str">
            <v>WA2602JKR1LG</v>
          </cell>
          <cell r="BW5292">
            <v>149</v>
          </cell>
        </row>
        <row r="5293">
          <cell r="L5293" t="str">
            <v>WA2602JKR1LG</v>
          </cell>
          <cell r="BW5293">
            <v>147</v>
          </cell>
        </row>
        <row r="5294">
          <cell r="L5294" t="str">
            <v>WA2602JKR1LG</v>
          </cell>
          <cell r="BW5294">
            <v>72</v>
          </cell>
        </row>
        <row r="5295">
          <cell r="L5295" t="str">
            <v>WA2602JKR1PI</v>
          </cell>
          <cell r="BW5295">
            <v>64</v>
          </cell>
        </row>
        <row r="5296">
          <cell r="L5296" t="str">
            <v>WA2602JKR1PI</v>
          </cell>
          <cell r="BW5296">
            <v>55</v>
          </cell>
        </row>
        <row r="5297">
          <cell r="L5297" t="str">
            <v>WA2602JKR1PI</v>
          </cell>
          <cell r="BW5297">
            <v>30</v>
          </cell>
        </row>
        <row r="5298">
          <cell r="L5298" t="str">
            <v>WA2602KT11CM</v>
          </cell>
          <cell r="BW5298">
            <v>43</v>
          </cell>
        </row>
        <row r="5299">
          <cell r="L5299" t="str">
            <v>WA2602KT11CM</v>
          </cell>
          <cell r="BW5299">
            <v>47</v>
          </cell>
        </row>
        <row r="5300">
          <cell r="L5300" t="str">
            <v>WA2602KT11CM</v>
          </cell>
          <cell r="BW5300">
            <v>32</v>
          </cell>
        </row>
        <row r="5301">
          <cell r="L5301" t="str">
            <v>WA2602KT11CM</v>
          </cell>
          <cell r="BW5301">
            <v>39</v>
          </cell>
        </row>
        <row r="5302">
          <cell r="L5302" t="str">
            <v>WA2602KT11NA</v>
          </cell>
          <cell r="BW5302">
            <v>31</v>
          </cell>
        </row>
        <row r="5303">
          <cell r="L5303" t="str">
            <v>WA2602KT11NA</v>
          </cell>
          <cell r="BW5303">
            <v>39</v>
          </cell>
        </row>
        <row r="5304">
          <cell r="L5304" t="str">
            <v>WA2602KT11NA</v>
          </cell>
          <cell r="BW5304">
            <v>37</v>
          </cell>
        </row>
        <row r="5305">
          <cell r="L5305" t="str">
            <v>WA2602KT11NA</v>
          </cell>
          <cell r="BW5305">
            <v>36</v>
          </cell>
        </row>
        <row r="5306">
          <cell r="L5306" t="str">
            <v>WA2602KT51BR</v>
          </cell>
          <cell r="BW5306">
            <v>24</v>
          </cell>
        </row>
        <row r="5307">
          <cell r="L5307" t="str">
            <v>WA2602KT51BR</v>
          </cell>
          <cell r="BW5307">
            <v>95</v>
          </cell>
        </row>
        <row r="5308">
          <cell r="L5308" t="str">
            <v>WA2602KT51BR</v>
          </cell>
          <cell r="BW5308">
            <v>97</v>
          </cell>
        </row>
        <row r="5309">
          <cell r="L5309" t="str">
            <v>WA2602KT51DN</v>
          </cell>
          <cell r="BW5309">
            <v>64</v>
          </cell>
        </row>
        <row r="5310">
          <cell r="L5310" t="str">
            <v>WA2602KT51DN</v>
          </cell>
          <cell r="BW5310">
            <v>167</v>
          </cell>
        </row>
        <row r="5311">
          <cell r="L5311" t="str">
            <v>WA2602KT51DN</v>
          </cell>
          <cell r="BW5311">
            <v>224</v>
          </cell>
        </row>
        <row r="5312">
          <cell r="L5312" t="str">
            <v>WA2602KT51WH</v>
          </cell>
          <cell r="BW5312">
            <v>52</v>
          </cell>
        </row>
        <row r="5313">
          <cell r="L5313" t="str">
            <v>WA2602KT51WH</v>
          </cell>
          <cell r="BW5313">
            <v>176</v>
          </cell>
        </row>
        <row r="5314">
          <cell r="L5314" t="str">
            <v>WA2602KT51WH</v>
          </cell>
          <cell r="BW5314">
            <v>151</v>
          </cell>
        </row>
        <row r="5315">
          <cell r="L5315" t="str">
            <v>WA2602KT61CM</v>
          </cell>
          <cell r="BW5315">
            <v>305</v>
          </cell>
        </row>
        <row r="5316">
          <cell r="L5316" t="str">
            <v>WA2602KT61CM</v>
          </cell>
          <cell r="BW5316">
            <v>300</v>
          </cell>
        </row>
        <row r="5317">
          <cell r="L5317" t="str">
            <v>WA2602KT61NA</v>
          </cell>
          <cell r="BW5317">
            <v>62</v>
          </cell>
        </row>
        <row r="5318">
          <cell r="L5318" t="str">
            <v>WA2602KT61NA</v>
          </cell>
          <cell r="BW5318">
            <v>86</v>
          </cell>
        </row>
        <row r="5319">
          <cell r="L5319" t="str">
            <v>WA2602KT61SB</v>
          </cell>
          <cell r="BW5319">
            <v>127</v>
          </cell>
        </row>
        <row r="5320">
          <cell r="L5320" t="str">
            <v>WA2602KT61SB</v>
          </cell>
          <cell r="BW5320">
            <v>141</v>
          </cell>
        </row>
        <row r="5321">
          <cell r="L5321" t="str">
            <v>WA2602KT62DN</v>
          </cell>
          <cell r="BW5321">
            <v>160</v>
          </cell>
        </row>
        <row r="5322">
          <cell r="L5322" t="str">
            <v>WA2602KT62DN</v>
          </cell>
          <cell r="BW5322">
            <v>109</v>
          </cell>
        </row>
        <row r="5323">
          <cell r="L5323" t="str">
            <v>WA2602KT62LG</v>
          </cell>
          <cell r="BW5323">
            <v>294</v>
          </cell>
        </row>
        <row r="5324">
          <cell r="L5324" t="str">
            <v>WA2602KT62LG</v>
          </cell>
          <cell r="BW5324">
            <v>303</v>
          </cell>
        </row>
        <row r="5325">
          <cell r="L5325" t="str">
            <v>WA2602KT63BL</v>
          </cell>
          <cell r="BW5325">
            <v>72</v>
          </cell>
        </row>
        <row r="5326">
          <cell r="L5326" t="str">
            <v>WA2602KT63BL</v>
          </cell>
          <cell r="BW5326">
            <v>74</v>
          </cell>
        </row>
        <row r="5327">
          <cell r="L5327" t="str">
            <v>WA2602KT63CM</v>
          </cell>
          <cell r="BW5327">
            <v>117</v>
          </cell>
        </row>
        <row r="5328">
          <cell r="L5328" t="str">
            <v>WA2602KT63CM</v>
          </cell>
          <cell r="BW5328">
            <v>319</v>
          </cell>
        </row>
        <row r="5329">
          <cell r="L5329" t="str">
            <v>WA2602KT63CM</v>
          </cell>
          <cell r="BW5329">
            <v>276</v>
          </cell>
        </row>
        <row r="5330">
          <cell r="L5330" t="str">
            <v>WA2602KT63LI</v>
          </cell>
          <cell r="BW5330">
            <v>115</v>
          </cell>
        </row>
        <row r="5331">
          <cell r="L5331" t="str">
            <v>WA2602KT63LI</v>
          </cell>
          <cell r="BW5331">
            <v>133</v>
          </cell>
        </row>
        <row r="5332">
          <cell r="L5332" t="str">
            <v>WA2602KT64DN</v>
          </cell>
          <cell r="BW5332">
            <v>160</v>
          </cell>
        </row>
        <row r="5333">
          <cell r="L5333" t="str">
            <v>WA2602KT64DN</v>
          </cell>
          <cell r="BW5333">
            <v>111</v>
          </cell>
        </row>
        <row r="5334">
          <cell r="L5334" t="str">
            <v>WA2602KT64LG</v>
          </cell>
          <cell r="BW5334">
            <v>202</v>
          </cell>
        </row>
        <row r="5335">
          <cell r="L5335" t="str">
            <v>WA2602KT64LG</v>
          </cell>
          <cell r="BW5335">
            <v>209</v>
          </cell>
        </row>
        <row r="5336">
          <cell r="L5336" t="str">
            <v>WA2602KT65CM</v>
          </cell>
          <cell r="BW5336">
            <v>195</v>
          </cell>
        </row>
        <row r="5337">
          <cell r="L5337" t="str">
            <v>WA2602KT65CM</v>
          </cell>
          <cell r="BW5337">
            <v>226</v>
          </cell>
        </row>
        <row r="5338">
          <cell r="L5338" t="str">
            <v>WA2602KT66CM</v>
          </cell>
          <cell r="BW5338">
            <v>250</v>
          </cell>
        </row>
        <row r="5339">
          <cell r="L5339" t="str">
            <v>WA2602KT66CM</v>
          </cell>
          <cell r="BW5339">
            <v>206</v>
          </cell>
        </row>
        <row r="5340">
          <cell r="L5340" t="str">
            <v>WA2602KT66NA</v>
          </cell>
          <cell r="BW5340">
            <v>100</v>
          </cell>
        </row>
        <row r="5341">
          <cell r="L5341" t="str">
            <v>WA2602KT66NA</v>
          </cell>
          <cell r="BW5341">
            <v>80</v>
          </cell>
        </row>
        <row r="5342">
          <cell r="L5342" t="str">
            <v>WA2602KT67BK</v>
          </cell>
          <cell r="BW5342">
            <v>126</v>
          </cell>
        </row>
        <row r="5343">
          <cell r="L5343" t="str">
            <v>WA2602KT67LI</v>
          </cell>
          <cell r="BW5343">
            <v>107</v>
          </cell>
        </row>
        <row r="5344">
          <cell r="L5344" t="str">
            <v>WA2602KT67SB</v>
          </cell>
          <cell r="BW5344">
            <v>344</v>
          </cell>
        </row>
        <row r="5345">
          <cell r="L5345" t="str">
            <v>WA2602OP61BK</v>
          </cell>
          <cell r="BW5345">
            <v>354</v>
          </cell>
        </row>
        <row r="5346">
          <cell r="L5346" t="str">
            <v>WA2602OP61BK</v>
          </cell>
          <cell r="BW5346">
            <v>344</v>
          </cell>
        </row>
        <row r="5347">
          <cell r="L5347" t="str">
            <v>WA2602OP61LG</v>
          </cell>
          <cell r="BW5347">
            <v>128</v>
          </cell>
        </row>
        <row r="5348">
          <cell r="L5348" t="str">
            <v>WA2602OP61LG</v>
          </cell>
          <cell r="BW5348">
            <v>195</v>
          </cell>
        </row>
        <row r="5349">
          <cell r="L5349" t="str">
            <v>WA2602OP62WH</v>
          </cell>
          <cell r="BW5349">
            <v>337</v>
          </cell>
        </row>
        <row r="5350">
          <cell r="L5350" t="str">
            <v>WA2602OP63EC</v>
          </cell>
          <cell r="BW5350">
            <v>137</v>
          </cell>
        </row>
        <row r="5351">
          <cell r="L5351" t="str">
            <v>WA2602PT11BK</v>
          </cell>
          <cell r="BW5351">
            <v>151</v>
          </cell>
        </row>
        <row r="5352">
          <cell r="L5352" t="str">
            <v>WA2602PT11BK</v>
          </cell>
          <cell r="BW5352">
            <v>193</v>
          </cell>
        </row>
        <row r="5353">
          <cell r="L5353" t="str">
            <v>WA2602PT11BK</v>
          </cell>
          <cell r="BW5353">
            <v>120</v>
          </cell>
        </row>
        <row r="5354">
          <cell r="L5354" t="str">
            <v>WA2602PT11BK</v>
          </cell>
          <cell r="BW5354">
            <v>50</v>
          </cell>
        </row>
        <row r="5355">
          <cell r="L5355" t="str">
            <v>WA2602PT11GR</v>
          </cell>
          <cell r="BW5355">
            <v>94</v>
          </cell>
        </row>
        <row r="5356">
          <cell r="L5356" t="str">
            <v>WA2602PT11GR</v>
          </cell>
          <cell r="BW5356">
            <v>150</v>
          </cell>
        </row>
        <row r="5357">
          <cell r="L5357" t="str">
            <v>WA2602PT11GR</v>
          </cell>
          <cell r="BW5357">
            <v>98</v>
          </cell>
        </row>
        <row r="5358">
          <cell r="L5358" t="str">
            <v>WA2602PT11GR</v>
          </cell>
          <cell r="BW5358">
            <v>40</v>
          </cell>
        </row>
        <row r="5359">
          <cell r="L5359" t="str">
            <v>WA2602PT12BE</v>
          </cell>
          <cell r="BW5359">
            <v>145</v>
          </cell>
        </row>
        <row r="5360">
          <cell r="L5360" t="str">
            <v>WA2602PT12BE</v>
          </cell>
          <cell r="BW5360">
            <v>168</v>
          </cell>
        </row>
        <row r="5361">
          <cell r="L5361" t="str">
            <v>WA2602PT12BE</v>
          </cell>
          <cell r="BW5361">
            <v>97</v>
          </cell>
        </row>
        <row r="5362">
          <cell r="L5362" t="str">
            <v>WA2602PT12BE</v>
          </cell>
          <cell r="BW5362">
            <v>81</v>
          </cell>
        </row>
        <row r="5363">
          <cell r="L5363" t="str">
            <v>WA2602PT12BK</v>
          </cell>
          <cell r="BW5363">
            <v>218</v>
          </cell>
        </row>
        <row r="5364">
          <cell r="L5364" t="str">
            <v>WA2602PT12BK</v>
          </cell>
          <cell r="BW5364">
            <v>213</v>
          </cell>
        </row>
        <row r="5365">
          <cell r="L5365" t="str">
            <v>WA2602PT12BK</v>
          </cell>
          <cell r="BW5365">
            <v>139</v>
          </cell>
        </row>
        <row r="5366">
          <cell r="L5366" t="str">
            <v>WA2602PT12BK</v>
          </cell>
          <cell r="BW5366">
            <v>112</v>
          </cell>
        </row>
        <row r="5367">
          <cell r="L5367" t="str">
            <v>WA2602PT12TC</v>
          </cell>
          <cell r="BW5367">
            <v>67</v>
          </cell>
        </row>
        <row r="5368">
          <cell r="L5368" t="str">
            <v>WA2602PT12TC</v>
          </cell>
          <cell r="BW5368">
            <v>77</v>
          </cell>
        </row>
        <row r="5369">
          <cell r="L5369" t="str">
            <v>WA2602PT12TC</v>
          </cell>
          <cell r="BW5369">
            <v>44</v>
          </cell>
        </row>
        <row r="5370">
          <cell r="L5370" t="str">
            <v>WA2602PT13BK</v>
          </cell>
          <cell r="BW5370">
            <v>189</v>
          </cell>
        </row>
        <row r="5371">
          <cell r="L5371" t="str">
            <v>WA2602PT13BK</v>
          </cell>
          <cell r="BW5371">
            <v>215</v>
          </cell>
        </row>
        <row r="5372">
          <cell r="L5372" t="str">
            <v>WA2602PT13BK</v>
          </cell>
          <cell r="BW5372">
            <v>140</v>
          </cell>
        </row>
        <row r="5373">
          <cell r="L5373" t="str">
            <v>WA2602PT13BK</v>
          </cell>
          <cell r="BW5373">
            <v>102</v>
          </cell>
        </row>
        <row r="5374">
          <cell r="L5374" t="str">
            <v>WA2602PT13GR</v>
          </cell>
          <cell r="BW5374">
            <v>106</v>
          </cell>
        </row>
        <row r="5375">
          <cell r="L5375" t="str">
            <v>WA2602PT13GR</v>
          </cell>
          <cell r="BW5375">
            <v>128</v>
          </cell>
        </row>
        <row r="5376">
          <cell r="L5376" t="str">
            <v>WA2602PT13GR</v>
          </cell>
          <cell r="BW5376">
            <v>83</v>
          </cell>
        </row>
        <row r="5377">
          <cell r="L5377" t="str">
            <v>WA2602PT13GR</v>
          </cell>
          <cell r="BW5377">
            <v>59</v>
          </cell>
        </row>
        <row r="5378">
          <cell r="L5378" t="str">
            <v>WA2602PT13OL</v>
          </cell>
          <cell r="BW5378">
            <v>82</v>
          </cell>
        </row>
        <row r="5379">
          <cell r="L5379" t="str">
            <v>WA2602PT13OL</v>
          </cell>
          <cell r="BW5379">
            <v>91</v>
          </cell>
        </row>
        <row r="5380">
          <cell r="L5380" t="str">
            <v>WA2602PT13OL</v>
          </cell>
          <cell r="BW5380">
            <v>53</v>
          </cell>
        </row>
        <row r="5381">
          <cell r="L5381" t="str">
            <v>WA2602PT13OL</v>
          </cell>
          <cell r="BW5381">
            <v>42</v>
          </cell>
        </row>
        <row r="5382">
          <cell r="L5382" t="str">
            <v>WA2602PT14BE</v>
          </cell>
          <cell r="BW5382">
            <v>136</v>
          </cell>
        </row>
        <row r="5383">
          <cell r="L5383" t="str">
            <v>WA2602PT14BE</v>
          </cell>
          <cell r="BW5383">
            <v>159</v>
          </cell>
        </row>
        <row r="5384">
          <cell r="L5384" t="str">
            <v>WA2602PT14BE</v>
          </cell>
          <cell r="BW5384">
            <v>97</v>
          </cell>
        </row>
        <row r="5385">
          <cell r="L5385" t="str">
            <v>WA2602PT14BE</v>
          </cell>
          <cell r="BW5385">
            <v>79</v>
          </cell>
        </row>
        <row r="5386">
          <cell r="L5386" t="str">
            <v>WA2602PT14CH</v>
          </cell>
          <cell r="BW5386">
            <v>137</v>
          </cell>
        </row>
        <row r="5387">
          <cell r="L5387" t="str">
            <v>WA2602PT14CH</v>
          </cell>
          <cell r="BW5387">
            <v>165</v>
          </cell>
        </row>
        <row r="5388">
          <cell r="L5388" t="str">
            <v>WA2602PT14CH</v>
          </cell>
          <cell r="BW5388">
            <v>104</v>
          </cell>
        </row>
        <row r="5389">
          <cell r="L5389" t="str">
            <v>WA2602PT14CH</v>
          </cell>
          <cell r="BW5389">
            <v>80</v>
          </cell>
        </row>
        <row r="5390">
          <cell r="L5390" t="str">
            <v>WA2602PT31BK</v>
          </cell>
          <cell r="BW5390">
            <v>265</v>
          </cell>
        </row>
        <row r="5391">
          <cell r="L5391" t="str">
            <v>WA2602PT31BK</v>
          </cell>
          <cell r="BW5391">
            <v>399</v>
          </cell>
        </row>
        <row r="5392">
          <cell r="L5392" t="str">
            <v>WA2602PT31BK</v>
          </cell>
          <cell r="BW5392">
            <v>291</v>
          </cell>
        </row>
        <row r="5393">
          <cell r="L5393" t="str">
            <v>WA2602PT31BK</v>
          </cell>
          <cell r="BW5393">
            <v>196</v>
          </cell>
        </row>
        <row r="5394">
          <cell r="L5394" t="str">
            <v>WA2602PT31IN</v>
          </cell>
          <cell r="BW5394">
            <v>267</v>
          </cell>
        </row>
        <row r="5395">
          <cell r="L5395" t="str">
            <v>WA2602PT31IN</v>
          </cell>
          <cell r="BW5395">
            <v>299</v>
          </cell>
        </row>
        <row r="5396">
          <cell r="L5396" t="str">
            <v>WA2602PT31IN</v>
          </cell>
          <cell r="BW5396">
            <v>259</v>
          </cell>
        </row>
        <row r="5397">
          <cell r="L5397" t="str">
            <v>WA2602PT31IN</v>
          </cell>
          <cell r="BW5397">
            <v>195</v>
          </cell>
        </row>
        <row r="5398">
          <cell r="L5398" t="str">
            <v>WA2602PT32BK</v>
          </cell>
          <cell r="BW5398">
            <v>138</v>
          </cell>
        </row>
        <row r="5399">
          <cell r="L5399" t="str">
            <v>WA2602PT32BK</v>
          </cell>
          <cell r="BW5399">
            <v>166</v>
          </cell>
        </row>
        <row r="5400">
          <cell r="L5400" t="str">
            <v>WA2602PT32BK</v>
          </cell>
          <cell r="BW5400">
            <v>108</v>
          </cell>
        </row>
        <row r="5401">
          <cell r="L5401" t="str">
            <v>WA2602PT32BK</v>
          </cell>
          <cell r="BW5401">
            <v>76</v>
          </cell>
        </row>
        <row r="5402">
          <cell r="L5402" t="str">
            <v>WA2602PT32IN</v>
          </cell>
          <cell r="BW5402">
            <v>77</v>
          </cell>
        </row>
        <row r="5403">
          <cell r="L5403" t="str">
            <v>WA2602PT32IN</v>
          </cell>
          <cell r="BW5403">
            <v>86</v>
          </cell>
        </row>
        <row r="5404">
          <cell r="L5404" t="str">
            <v>WA2602PT32IN</v>
          </cell>
          <cell r="BW5404">
            <v>74</v>
          </cell>
        </row>
        <row r="5405">
          <cell r="L5405" t="str">
            <v>WA2602PT32IN</v>
          </cell>
          <cell r="BW5405">
            <v>52</v>
          </cell>
        </row>
        <row r="5406">
          <cell r="L5406" t="str">
            <v>WA2602PT61BK</v>
          </cell>
          <cell r="BW5406">
            <v>302</v>
          </cell>
        </row>
        <row r="5407">
          <cell r="L5407" t="str">
            <v>WA2602PT61BK</v>
          </cell>
          <cell r="BW5407">
            <v>451</v>
          </cell>
        </row>
        <row r="5408">
          <cell r="L5408" t="str">
            <v>WA2602PT61GR</v>
          </cell>
          <cell r="BW5408">
            <v>110</v>
          </cell>
        </row>
        <row r="5409">
          <cell r="L5409" t="str">
            <v>WA2602PT61GR</v>
          </cell>
          <cell r="BW5409">
            <v>258</v>
          </cell>
        </row>
        <row r="5410">
          <cell r="L5410" t="str">
            <v>WA2602PT61TC</v>
          </cell>
          <cell r="BW5410">
            <v>79</v>
          </cell>
        </row>
        <row r="5411">
          <cell r="L5411" t="str">
            <v>WA2602PT61TC</v>
          </cell>
          <cell r="BW5411">
            <v>156</v>
          </cell>
        </row>
        <row r="5412">
          <cell r="L5412" t="str">
            <v>WA2602PT62CH</v>
          </cell>
          <cell r="BW5412">
            <v>81</v>
          </cell>
        </row>
        <row r="5413">
          <cell r="L5413" t="str">
            <v>WA2602PT62CH</v>
          </cell>
          <cell r="BW5413">
            <v>173</v>
          </cell>
        </row>
        <row r="5414">
          <cell r="L5414" t="str">
            <v>WA2602PT62EC</v>
          </cell>
          <cell r="BW5414">
            <v>70</v>
          </cell>
        </row>
        <row r="5415">
          <cell r="L5415" t="str">
            <v>WA2602PT62EC</v>
          </cell>
          <cell r="BW5415">
            <v>217</v>
          </cell>
        </row>
        <row r="5416">
          <cell r="L5416" t="str">
            <v>WA2602PT71BL</v>
          </cell>
          <cell r="BW5416">
            <v>288</v>
          </cell>
        </row>
        <row r="5417">
          <cell r="L5417" t="str">
            <v>WA2602PT71BL</v>
          </cell>
          <cell r="BW5417">
            <v>634</v>
          </cell>
        </row>
        <row r="5418">
          <cell r="L5418" t="str">
            <v>WA2602PT71LB</v>
          </cell>
          <cell r="BW5418">
            <v>148</v>
          </cell>
        </row>
        <row r="5419">
          <cell r="L5419" t="str">
            <v>WA2602PT71LB</v>
          </cell>
          <cell r="BW5419">
            <v>660</v>
          </cell>
        </row>
        <row r="5420">
          <cell r="L5420" t="str">
            <v>WA2602SO01BK</v>
          </cell>
          <cell r="BW5420">
            <v>668</v>
          </cell>
        </row>
        <row r="5421">
          <cell r="L5421" t="str">
            <v>WA2602SO01BK</v>
          </cell>
          <cell r="BW5421">
            <v>941</v>
          </cell>
        </row>
        <row r="5422">
          <cell r="L5422" t="str">
            <v>WA2602SO01BK</v>
          </cell>
          <cell r="BW5422">
            <v>845</v>
          </cell>
        </row>
        <row r="5423">
          <cell r="L5423" t="str">
            <v>WA2602SO01BK</v>
          </cell>
          <cell r="BW5423">
            <v>418</v>
          </cell>
        </row>
        <row r="5424">
          <cell r="L5424" t="str">
            <v>WA2602SO01BL</v>
          </cell>
          <cell r="BW5424">
            <v>89</v>
          </cell>
        </row>
        <row r="5425">
          <cell r="L5425" t="str">
            <v>WA2602SO01BL</v>
          </cell>
          <cell r="BW5425">
            <v>168</v>
          </cell>
        </row>
        <row r="5426">
          <cell r="L5426" t="str">
            <v>WA2602SO01BL</v>
          </cell>
          <cell r="BW5426">
            <v>122</v>
          </cell>
        </row>
        <row r="5427">
          <cell r="L5427" t="str">
            <v>WA2602SO01BL</v>
          </cell>
          <cell r="BW5427">
            <v>85</v>
          </cell>
        </row>
        <row r="5428">
          <cell r="L5428" t="str">
            <v>WA2602SO01GR</v>
          </cell>
          <cell r="BW5428">
            <v>743</v>
          </cell>
        </row>
        <row r="5429">
          <cell r="L5429" t="str">
            <v>WA2602SO01GR</v>
          </cell>
          <cell r="BW5429">
            <v>864</v>
          </cell>
        </row>
        <row r="5430">
          <cell r="L5430" t="str">
            <v>WA2602SO01GR</v>
          </cell>
          <cell r="BW5430">
            <v>1014</v>
          </cell>
        </row>
        <row r="5431">
          <cell r="L5431" t="str">
            <v>WA2602SO01GR</v>
          </cell>
          <cell r="BW5431">
            <v>294</v>
          </cell>
        </row>
        <row r="5432">
          <cell r="L5432" t="str">
            <v>WA2602SO01LG</v>
          </cell>
          <cell r="BW5432">
            <v>576</v>
          </cell>
        </row>
        <row r="5433">
          <cell r="L5433" t="str">
            <v>WA2602SO01LG</v>
          </cell>
          <cell r="BW5433">
            <v>688</v>
          </cell>
        </row>
        <row r="5434">
          <cell r="L5434" t="str">
            <v>WA2602SO01LG</v>
          </cell>
          <cell r="BW5434">
            <v>816</v>
          </cell>
        </row>
        <row r="5435">
          <cell r="L5435" t="str">
            <v>WA2602SO01LG</v>
          </cell>
          <cell r="BW5435">
            <v>238</v>
          </cell>
        </row>
        <row r="5436">
          <cell r="L5436" t="str">
            <v>WA2602SO01LN</v>
          </cell>
          <cell r="BW5436">
            <v>116</v>
          </cell>
        </row>
        <row r="5437">
          <cell r="L5437" t="str">
            <v>WA2602SO01LN</v>
          </cell>
          <cell r="BW5437">
            <v>235</v>
          </cell>
        </row>
        <row r="5438">
          <cell r="L5438" t="str">
            <v>WA2602SO01LN</v>
          </cell>
          <cell r="BW5438">
            <v>118</v>
          </cell>
        </row>
        <row r="5439">
          <cell r="L5439" t="str">
            <v>WA2602SO01LN</v>
          </cell>
          <cell r="BW5439">
            <v>122</v>
          </cell>
        </row>
        <row r="5440">
          <cell r="L5440" t="str">
            <v>WA2602SO02BK</v>
          </cell>
          <cell r="BW5440">
            <v>436</v>
          </cell>
        </row>
        <row r="5441">
          <cell r="L5441" t="str">
            <v>WA2602SO02BK</v>
          </cell>
          <cell r="BW5441">
            <v>582</v>
          </cell>
        </row>
        <row r="5442">
          <cell r="L5442" t="str">
            <v>WA2602SO02BK</v>
          </cell>
          <cell r="BW5442">
            <v>379</v>
          </cell>
        </row>
        <row r="5443">
          <cell r="L5443" t="str">
            <v>WA2602SO02BK</v>
          </cell>
          <cell r="BW5443">
            <v>230</v>
          </cell>
        </row>
        <row r="5444">
          <cell r="L5444" t="str">
            <v>WA2602SO02GR</v>
          </cell>
          <cell r="BW5444">
            <v>599</v>
          </cell>
        </row>
        <row r="5445">
          <cell r="L5445" t="str">
            <v>WA2602SO02GR</v>
          </cell>
          <cell r="BW5445">
            <v>742</v>
          </cell>
        </row>
        <row r="5446">
          <cell r="L5446" t="str">
            <v>WA2602SO02GR</v>
          </cell>
          <cell r="BW5446">
            <v>793</v>
          </cell>
        </row>
        <row r="5447">
          <cell r="L5447" t="str">
            <v>WA2602SO02GR</v>
          </cell>
          <cell r="BW5447">
            <v>240</v>
          </cell>
        </row>
        <row r="5448">
          <cell r="L5448" t="str">
            <v>WA2602SO02LG</v>
          </cell>
          <cell r="BW5448">
            <v>363</v>
          </cell>
        </row>
        <row r="5449">
          <cell r="L5449" t="str">
            <v>WA2602SO02LG</v>
          </cell>
          <cell r="BW5449">
            <v>498</v>
          </cell>
        </row>
        <row r="5450">
          <cell r="L5450" t="str">
            <v>WA2602SO02LG</v>
          </cell>
          <cell r="BW5450">
            <v>534</v>
          </cell>
        </row>
        <row r="5451">
          <cell r="L5451" t="str">
            <v>WA2602SO02LG</v>
          </cell>
          <cell r="BW5451">
            <v>161</v>
          </cell>
        </row>
        <row r="5452">
          <cell r="L5452" t="str">
            <v>WA2602SO03BR</v>
          </cell>
          <cell r="BW5452">
            <v>130</v>
          </cell>
        </row>
        <row r="5453">
          <cell r="L5453" t="str">
            <v>WA2602SO03BR</v>
          </cell>
          <cell r="BW5453">
            <v>198</v>
          </cell>
        </row>
        <row r="5454">
          <cell r="L5454" t="str">
            <v>WA2602SO03BR</v>
          </cell>
          <cell r="BW5454">
            <v>198</v>
          </cell>
        </row>
        <row r="5455">
          <cell r="L5455" t="str">
            <v>WA2602SO03BR</v>
          </cell>
          <cell r="BW5455">
            <v>86</v>
          </cell>
        </row>
        <row r="5456">
          <cell r="L5456" t="str">
            <v>WA2602SO03LG</v>
          </cell>
          <cell r="BW5456">
            <v>344</v>
          </cell>
        </row>
        <row r="5457">
          <cell r="L5457" t="str">
            <v>WA2602SO03LG</v>
          </cell>
          <cell r="BW5457">
            <v>423</v>
          </cell>
        </row>
        <row r="5458">
          <cell r="L5458" t="str">
            <v>WA2602SO03LG</v>
          </cell>
          <cell r="BW5458">
            <v>383</v>
          </cell>
        </row>
        <row r="5459">
          <cell r="L5459" t="str">
            <v>WA2602SO03LG</v>
          </cell>
          <cell r="BW5459">
            <v>203</v>
          </cell>
        </row>
        <row r="5460">
          <cell r="L5460" t="str">
            <v>WA2602SO03WH</v>
          </cell>
          <cell r="BW5460">
            <v>78</v>
          </cell>
        </row>
        <row r="5461">
          <cell r="L5461" t="str">
            <v>WA2602SO03WH</v>
          </cell>
          <cell r="BW5461">
            <v>98</v>
          </cell>
        </row>
        <row r="5462">
          <cell r="L5462" t="str">
            <v>WA2602SO03WH</v>
          </cell>
          <cell r="BW5462">
            <v>88</v>
          </cell>
        </row>
        <row r="5463">
          <cell r="L5463" t="str">
            <v>WA2602SO03WH</v>
          </cell>
          <cell r="BW5463">
            <v>42</v>
          </cell>
        </row>
        <row r="5464">
          <cell r="L5464" t="str">
            <v>WA2602SO04BK</v>
          </cell>
          <cell r="BW5464">
            <v>50</v>
          </cell>
        </row>
        <row r="5465">
          <cell r="L5465" t="str">
            <v>WA2602SO04BK</v>
          </cell>
          <cell r="BW5465">
            <v>50</v>
          </cell>
        </row>
        <row r="5466">
          <cell r="L5466" t="str">
            <v>WA2602SO04BK</v>
          </cell>
          <cell r="BW5466">
            <v>54</v>
          </cell>
        </row>
        <row r="5467">
          <cell r="L5467" t="str">
            <v>WA2602SO04BK</v>
          </cell>
          <cell r="BW5467">
            <v>31</v>
          </cell>
        </row>
        <row r="5468">
          <cell r="L5468" t="str">
            <v>WA2602SO04GR</v>
          </cell>
          <cell r="BW5468">
            <v>48</v>
          </cell>
        </row>
        <row r="5469">
          <cell r="L5469" t="str">
            <v>WA2602SO04GR</v>
          </cell>
          <cell r="BW5469">
            <v>97</v>
          </cell>
        </row>
        <row r="5470">
          <cell r="L5470" t="str">
            <v>WA2602SO04GR</v>
          </cell>
          <cell r="BW5470">
            <v>69</v>
          </cell>
        </row>
        <row r="5471">
          <cell r="L5471" t="str">
            <v>WA2602SO04GR</v>
          </cell>
          <cell r="BW5471">
            <v>38</v>
          </cell>
        </row>
        <row r="5472">
          <cell r="L5472" t="str">
            <v>WA2602SO04PI</v>
          </cell>
          <cell r="BW5472">
            <v>87</v>
          </cell>
        </row>
        <row r="5473">
          <cell r="L5473" t="str">
            <v>WA2602SO04PI</v>
          </cell>
          <cell r="BW5473">
            <v>96</v>
          </cell>
        </row>
        <row r="5474">
          <cell r="L5474" t="str">
            <v>WA2602SO04PI</v>
          </cell>
          <cell r="BW5474">
            <v>112</v>
          </cell>
        </row>
        <row r="5475">
          <cell r="L5475" t="str">
            <v>WA2602SO04PI</v>
          </cell>
          <cell r="BW5475">
            <v>30</v>
          </cell>
        </row>
        <row r="5476">
          <cell r="L5476" t="str">
            <v>WA2602SO04TC</v>
          </cell>
          <cell r="BW5476">
            <v>0</v>
          </cell>
        </row>
        <row r="5477">
          <cell r="L5477" t="str">
            <v>WA2602SO04TC</v>
          </cell>
          <cell r="BW5477">
            <v>0</v>
          </cell>
        </row>
        <row r="5478">
          <cell r="L5478" t="str">
            <v>WA2602SO04TC</v>
          </cell>
          <cell r="BW5478">
            <v>0</v>
          </cell>
        </row>
        <row r="5479">
          <cell r="L5479" t="str">
            <v>WA2602SO05DN</v>
          </cell>
          <cell r="BW5479">
            <v>450</v>
          </cell>
        </row>
        <row r="5480">
          <cell r="L5480" t="str">
            <v>WA2602SO05DN</v>
          </cell>
          <cell r="BW5480">
            <v>659</v>
          </cell>
        </row>
        <row r="5481">
          <cell r="L5481" t="str">
            <v>WA2602SO05DN</v>
          </cell>
          <cell r="BW5481">
            <v>573</v>
          </cell>
        </row>
        <row r="5482">
          <cell r="L5482" t="str">
            <v>WA2602SO05DN</v>
          </cell>
          <cell r="BW5482">
            <v>160</v>
          </cell>
        </row>
        <row r="5483">
          <cell r="L5483" t="str">
            <v>WA2602SO05PI</v>
          </cell>
          <cell r="BW5483">
            <v>252</v>
          </cell>
        </row>
        <row r="5484">
          <cell r="L5484" t="str">
            <v>WA2602SO05PI</v>
          </cell>
          <cell r="BW5484">
            <v>292</v>
          </cell>
        </row>
        <row r="5485">
          <cell r="L5485" t="str">
            <v>WA2602SO05PI</v>
          </cell>
          <cell r="BW5485">
            <v>245</v>
          </cell>
        </row>
        <row r="5486">
          <cell r="L5486" t="str">
            <v>WA2602SO05PI</v>
          </cell>
          <cell r="BW5486">
            <v>143</v>
          </cell>
        </row>
        <row r="5487">
          <cell r="L5487" t="str">
            <v>WA2602SO11BK</v>
          </cell>
          <cell r="BW5487">
            <v>558</v>
          </cell>
        </row>
        <row r="5488">
          <cell r="L5488" t="str">
            <v>WA2602SO11BK</v>
          </cell>
          <cell r="BW5488">
            <v>499</v>
          </cell>
        </row>
        <row r="5489">
          <cell r="L5489" t="str">
            <v>WA2602SO11BK</v>
          </cell>
          <cell r="BW5489">
            <v>235</v>
          </cell>
        </row>
        <row r="5490">
          <cell r="L5490" t="str">
            <v>WA2602SO11BK</v>
          </cell>
          <cell r="BW5490">
            <v>292</v>
          </cell>
        </row>
        <row r="5491">
          <cell r="L5491" t="str">
            <v>WA2602SO11LG</v>
          </cell>
          <cell r="BW5491">
            <v>596</v>
          </cell>
        </row>
        <row r="5492">
          <cell r="L5492" t="str">
            <v>WA2602SO11LG</v>
          </cell>
          <cell r="BW5492">
            <v>521</v>
          </cell>
        </row>
        <row r="5493">
          <cell r="L5493" t="str">
            <v>WA2602SO11LG</v>
          </cell>
          <cell r="BW5493">
            <v>247</v>
          </cell>
        </row>
        <row r="5494">
          <cell r="L5494" t="str">
            <v>WA2602SO11LG</v>
          </cell>
          <cell r="BW5494">
            <v>296</v>
          </cell>
        </row>
        <row r="5495">
          <cell r="L5495" t="str">
            <v>WA2602SO11MI</v>
          </cell>
          <cell r="BW5495">
            <v>463</v>
          </cell>
        </row>
        <row r="5496">
          <cell r="L5496" t="str">
            <v>WA2602SO11MI</v>
          </cell>
          <cell r="BW5496">
            <v>433</v>
          </cell>
        </row>
        <row r="5497">
          <cell r="L5497" t="str">
            <v>WA2602SO11MI</v>
          </cell>
          <cell r="BW5497">
            <v>215</v>
          </cell>
        </row>
        <row r="5498">
          <cell r="L5498" t="str">
            <v>WA2602SO11MI</v>
          </cell>
          <cell r="BW5498">
            <v>248</v>
          </cell>
        </row>
        <row r="5499">
          <cell r="L5499" t="str">
            <v>WA2602SO11YE</v>
          </cell>
          <cell r="BW5499">
            <v>238</v>
          </cell>
        </row>
        <row r="5500">
          <cell r="L5500" t="str">
            <v>WA2602SO11YE</v>
          </cell>
          <cell r="BW5500">
            <v>221</v>
          </cell>
        </row>
        <row r="5501">
          <cell r="L5501" t="str">
            <v>WA2602SO11YE</v>
          </cell>
          <cell r="BW5501">
            <v>118</v>
          </cell>
        </row>
        <row r="5502">
          <cell r="L5502" t="str">
            <v>WA2602SO11YE</v>
          </cell>
          <cell r="BW5502">
            <v>129</v>
          </cell>
        </row>
        <row r="5503">
          <cell r="L5503" t="str">
            <v>WA2602SO12BE</v>
          </cell>
          <cell r="BW5503">
            <v>66</v>
          </cell>
        </row>
        <row r="5504">
          <cell r="L5504" t="str">
            <v>WA2602SO12BE</v>
          </cell>
          <cell r="BW5504">
            <v>136</v>
          </cell>
        </row>
        <row r="5505">
          <cell r="L5505" t="str">
            <v>WA2602SO12BE</v>
          </cell>
          <cell r="BW5505">
            <v>113</v>
          </cell>
        </row>
        <row r="5506">
          <cell r="L5506" t="str">
            <v>WA2602SO12BE</v>
          </cell>
          <cell r="BW5506">
            <v>56</v>
          </cell>
        </row>
        <row r="5507">
          <cell r="L5507" t="str">
            <v>WA2602SO12BK</v>
          </cell>
          <cell r="BW5507">
            <v>131</v>
          </cell>
        </row>
        <row r="5508">
          <cell r="L5508" t="str">
            <v>WA2602SO12BK</v>
          </cell>
          <cell r="BW5508">
            <v>238</v>
          </cell>
        </row>
        <row r="5509">
          <cell r="L5509" t="str">
            <v>WA2602SO12BK</v>
          </cell>
          <cell r="BW5509">
            <v>206</v>
          </cell>
        </row>
        <row r="5510">
          <cell r="L5510" t="str">
            <v>WA2602SO12BK</v>
          </cell>
          <cell r="BW5510">
            <v>104</v>
          </cell>
        </row>
        <row r="5511">
          <cell r="L5511" t="str">
            <v>WA2602SO12TC</v>
          </cell>
          <cell r="BW5511">
            <v>75</v>
          </cell>
        </row>
        <row r="5512">
          <cell r="L5512" t="str">
            <v>WA2602SO12TC</v>
          </cell>
          <cell r="BW5512">
            <v>91</v>
          </cell>
        </row>
        <row r="5513">
          <cell r="L5513" t="str">
            <v>WA2602SO12TC</v>
          </cell>
          <cell r="BW5513">
            <v>70</v>
          </cell>
        </row>
        <row r="5514">
          <cell r="L5514" t="str">
            <v>WA2602SO12TC</v>
          </cell>
          <cell r="BW5514">
            <v>42</v>
          </cell>
        </row>
        <row r="5515">
          <cell r="L5515" t="str">
            <v>WA2602SO13BK</v>
          </cell>
          <cell r="BW5515">
            <v>209</v>
          </cell>
        </row>
        <row r="5516">
          <cell r="L5516" t="str">
            <v>WA2602SO13BK</v>
          </cell>
          <cell r="BW5516">
            <v>199</v>
          </cell>
        </row>
        <row r="5517">
          <cell r="L5517" t="str">
            <v>WA2602SO13BK</v>
          </cell>
          <cell r="BW5517">
            <v>87</v>
          </cell>
        </row>
        <row r="5518">
          <cell r="L5518" t="str">
            <v>WA2602SO13BK</v>
          </cell>
          <cell r="BW5518">
            <v>87</v>
          </cell>
        </row>
        <row r="5519">
          <cell r="L5519" t="str">
            <v>WA2602SO13KH</v>
          </cell>
          <cell r="BW5519">
            <v>104</v>
          </cell>
        </row>
        <row r="5520">
          <cell r="L5520" t="str">
            <v>WA2602SO13KH</v>
          </cell>
          <cell r="BW5520">
            <v>116</v>
          </cell>
        </row>
        <row r="5521">
          <cell r="L5521" t="str">
            <v>WA2602SO13KH</v>
          </cell>
          <cell r="BW5521">
            <v>95</v>
          </cell>
        </row>
        <row r="5522">
          <cell r="L5522" t="str">
            <v>WA2602SO13KH</v>
          </cell>
          <cell r="BW5522">
            <v>86</v>
          </cell>
        </row>
        <row r="5523">
          <cell r="L5523" t="str">
            <v>WA2602SO31BK</v>
          </cell>
          <cell r="BW5523">
            <v>418</v>
          </cell>
        </row>
        <row r="5524">
          <cell r="L5524" t="str">
            <v>WA2602SO31BK</v>
          </cell>
          <cell r="BW5524">
            <v>585</v>
          </cell>
        </row>
        <row r="5525">
          <cell r="L5525" t="str">
            <v>WA2602SO31BK</v>
          </cell>
          <cell r="BW5525">
            <v>496</v>
          </cell>
        </row>
        <row r="5526">
          <cell r="L5526" t="str">
            <v>WA2602SO31BK</v>
          </cell>
          <cell r="BW5526">
            <v>147</v>
          </cell>
        </row>
        <row r="5527">
          <cell r="L5527" t="str">
            <v>WA2602SO31BL</v>
          </cell>
          <cell r="BW5527">
            <v>264</v>
          </cell>
        </row>
        <row r="5528">
          <cell r="L5528" t="str">
            <v>WA2602SO31BL</v>
          </cell>
          <cell r="BW5528">
            <v>385</v>
          </cell>
        </row>
        <row r="5529">
          <cell r="L5529" t="str">
            <v>WA2602SO31BL</v>
          </cell>
          <cell r="BW5529">
            <v>314</v>
          </cell>
        </row>
        <row r="5530">
          <cell r="L5530" t="str">
            <v>WA2602SO31BL</v>
          </cell>
          <cell r="BW5530">
            <v>100</v>
          </cell>
        </row>
        <row r="5531">
          <cell r="L5531" t="str">
            <v>WA2602SO31IN</v>
          </cell>
          <cell r="BW5531">
            <v>312</v>
          </cell>
        </row>
        <row r="5532">
          <cell r="L5532" t="str">
            <v>WA2602SO31IN</v>
          </cell>
          <cell r="BW5532">
            <v>429</v>
          </cell>
        </row>
        <row r="5533">
          <cell r="L5533" t="str">
            <v>WA2602SO31IN</v>
          </cell>
          <cell r="BW5533">
            <v>353</v>
          </cell>
        </row>
        <row r="5534">
          <cell r="L5534" t="str">
            <v>WA2602SO31IN</v>
          </cell>
          <cell r="BW5534">
            <v>104</v>
          </cell>
        </row>
        <row r="5535">
          <cell r="L5535" t="str">
            <v>WA2602SO32BK</v>
          </cell>
          <cell r="BW5535">
            <v>460</v>
          </cell>
        </row>
        <row r="5536">
          <cell r="L5536" t="str">
            <v>WA2602SO32BK</v>
          </cell>
          <cell r="BW5536">
            <v>514</v>
          </cell>
        </row>
        <row r="5537">
          <cell r="L5537" t="str">
            <v>WA2602SO32BK</v>
          </cell>
          <cell r="BW5537">
            <v>400</v>
          </cell>
        </row>
        <row r="5538">
          <cell r="L5538" t="str">
            <v>WA2602SO32BK</v>
          </cell>
          <cell r="BW5538">
            <v>210</v>
          </cell>
        </row>
        <row r="5539">
          <cell r="L5539" t="str">
            <v>WA2602SO32IN</v>
          </cell>
          <cell r="BW5539">
            <v>305</v>
          </cell>
        </row>
        <row r="5540">
          <cell r="L5540" t="str">
            <v>WA2602SO32IN</v>
          </cell>
          <cell r="BW5540">
            <v>460</v>
          </cell>
        </row>
        <row r="5541">
          <cell r="L5541" t="str">
            <v>WA2602SO32IN</v>
          </cell>
          <cell r="BW5541">
            <v>292</v>
          </cell>
        </row>
        <row r="5542">
          <cell r="L5542" t="str">
            <v>WA2602SO32IN</v>
          </cell>
          <cell r="BW5542">
            <v>191</v>
          </cell>
        </row>
        <row r="5543">
          <cell r="L5543" t="str">
            <v>WA2602SO33IN</v>
          </cell>
          <cell r="BW5543">
            <v>148</v>
          </cell>
        </row>
        <row r="5544">
          <cell r="L5544" t="str">
            <v>WA2602SO33IN</v>
          </cell>
          <cell r="BW5544">
            <v>216</v>
          </cell>
        </row>
        <row r="5545">
          <cell r="L5545" t="str">
            <v>WA2602SO33IN</v>
          </cell>
          <cell r="BW5545">
            <v>166</v>
          </cell>
        </row>
        <row r="5546">
          <cell r="L5546" t="str">
            <v>WA2602SO33IN</v>
          </cell>
          <cell r="BW5546">
            <v>99</v>
          </cell>
        </row>
        <row r="5547">
          <cell r="L5547" t="str">
            <v>WA2602SO33SB</v>
          </cell>
          <cell r="BW5547">
            <v>133</v>
          </cell>
        </row>
        <row r="5548">
          <cell r="L5548" t="str">
            <v>WA2602SO33SB</v>
          </cell>
          <cell r="BW5548">
            <v>211</v>
          </cell>
        </row>
        <row r="5549">
          <cell r="L5549" t="str">
            <v>WA2602SO33SB</v>
          </cell>
          <cell r="BW5549">
            <v>177</v>
          </cell>
        </row>
        <row r="5550">
          <cell r="L5550" t="str">
            <v>WA2602SO33SB</v>
          </cell>
          <cell r="BW5550">
            <v>91</v>
          </cell>
        </row>
        <row r="5551">
          <cell r="L5551" t="str">
            <v>WA2602SO35BK</v>
          </cell>
          <cell r="BW5551">
            <v>192</v>
          </cell>
        </row>
        <row r="5552">
          <cell r="L5552" t="str">
            <v>WA2602SO35BK</v>
          </cell>
          <cell r="BW5552">
            <v>276</v>
          </cell>
        </row>
        <row r="5553">
          <cell r="L5553" t="str">
            <v>WA2602SO35BK</v>
          </cell>
          <cell r="BW5553">
            <v>238</v>
          </cell>
        </row>
        <row r="5554">
          <cell r="L5554" t="str">
            <v>WA2602SO35BK</v>
          </cell>
          <cell r="BW5554">
            <v>113</v>
          </cell>
        </row>
        <row r="5555">
          <cell r="L5555" t="str">
            <v>WA2602SO35IN</v>
          </cell>
          <cell r="BW5555">
            <v>148</v>
          </cell>
        </row>
        <row r="5556">
          <cell r="L5556" t="str">
            <v>WA2602SO35IN</v>
          </cell>
          <cell r="BW5556">
            <v>225</v>
          </cell>
        </row>
        <row r="5557">
          <cell r="L5557" t="str">
            <v>WA2602SO35IN</v>
          </cell>
          <cell r="BW5557">
            <v>179</v>
          </cell>
        </row>
        <row r="5558">
          <cell r="L5558" t="str">
            <v>WA2602SO35IN</v>
          </cell>
          <cell r="BW5558">
            <v>79</v>
          </cell>
        </row>
        <row r="5559">
          <cell r="L5559" t="str">
            <v>WA2602SO53DN</v>
          </cell>
          <cell r="BW5559">
            <v>69</v>
          </cell>
        </row>
        <row r="5560">
          <cell r="L5560" t="str">
            <v>WA2602SO53DN</v>
          </cell>
          <cell r="BW5560">
            <v>158</v>
          </cell>
        </row>
        <row r="5561">
          <cell r="L5561" t="str">
            <v>WA2602SO53GR</v>
          </cell>
          <cell r="BW5561">
            <v>61</v>
          </cell>
        </row>
        <row r="5562">
          <cell r="L5562" t="str">
            <v>WA2602SO53GR</v>
          </cell>
          <cell r="BW5562">
            <v>200</v>
          </cell>
        </row>
        <row r="5563">
          <cell r="L5563" t="str">
            <v>WA2602SO53LG</v>
          </cell>
          <cell r="BW5563">
            <v>99</v>
          </cell>
        </row>
        <row r="5564">
          <cell r="L5564" t="str">
            <v>WA2602SO53LG</v>
          </cell>
          <cell r="BW5564">
            <v>474</v>
          </cell>
        </row>
        <row r="5565">
          <cell r="L5565" t="str">
            <v>WA2602SO61GR</v>
          </cell>
          <cell r="BW5565">
            <v>63</v>
          </cell>
        </row>
        <row r="5566">
          <cell r="L5566" t="str">
            <v>WA2602SO61GR</v>
          </cell>
          <cell r="BW5566">
            <v>175</v>
          </cell>
        </row>
        <row r="5567">
          <cell r="L5567" t="str">
            <v>WA2602SO61PU</v>
          </cell>
          <cell r="BW5567">
            <v>256</v>
          </cell>
        </row>
        <row r="5568">
          <cell r="L5568" t="str">
            <v>WA2602SO62BK</v>
          </cell>
          <cell r="BW5568">
            <v>207</v>
          </cell>
        </row>
        <row r="5569">
          <cell r="L5569" t="str">
            <v>WA2602SO62BK</v>
          </cell>
          <cell r="BW5569">
            <v>293</v>
          </cell>
        </row>
        <row r="5570">
          <cell r="L5570" t="str">
            <v>WA2602SO62SB</v>
          </cell>
          <cell r="BW5570">
            <v>99</v>
          </cell>
        </row>
        <row r="5571">
          <cell r="L5571" t="str">
            <v>WA2602SO62SB</v>
          </cell>
          <cell r="BW5571">
            <v>193</v>
          </cell>
        </row>
        <row r="5572">
          <cell r="L5572" t="str">
            <v>WA2602SO62TC</v>
          </cell>
          <cell r="BW5572">
            <v>55</v>
          </cell>
        </row>
        <row r="5573">
          <cell r="L5573" t="str">
            <v>WA2602SO63GR</v>
          </cell>
          <cell r="BW5573">
            <v>131</v>
          </cell>
        </row>
        <row r="5574">
          <cell r="L5574" t="str">
            <v>WA2602SO63GR</v>
          </cell>
          <cell r="BW5574">
            <v>124</v>
          </cell>
        </row>
        <row r="5575">
          <cell r="L5575" t="str">
            <v>WA2602SO64NA</v>
          </cell>
          <cell r="BW5575">
            <v>176</v>
          </cell>
        </row>
        <row r="5576">
          <cell r="L5576" t="str">
            <v>WA2602SO64NA</v>
          </cell>
          <cell r="BW5576">
            <v>203</v>
          </cell>
        </row>
        <row r="5577">
          <cell r="L5577" t="str">
            <v>WA2602SO69CM</v>
          </cell>
          <cell r="BW5577">
            <v>120</v>
          </cell>
        </row>
        <row r="5578">
          <cell r="L5578" t="str">
            <v>WA2602SO69CM</v>
          </cell>
          <cell r="BW5578">
            <v>235</v>
          </cell>
        </row>
        <row r="5579">
          <cell r="L5579" t="str">
            <v>WA2602SO69NA</v>
          </cell>
          <cell r="BW5579">
            <v>121</v>
          </cell>
        </row>
        <row r="5580">
          <cell r="L5580" t="str">
            <v>WA2602SO69NA</v>
          </cell>
          <cell r="BW5580">
            <v>227</v>
          </cell>
        </row>
        <row r="5581">
          <cell r="L5581" t="str">
            <v>WA2602SO71BL</v>
          </cell>
          <cell r="BW5581">
            <v>124</v>
          </cell>
        </row>
        <row r="5582">
          <cell r="L5582" t="str">
            <v>WA2602SO71BL</v>
          </cell>
          <cell r="BW5582">
            <v>311</v>
          </cell>
        </row>
        <row r="5583">
          <cell r="L5583" t="str">
            <v>WA2602SO71LB</v>
          </cell>
          <cell r="BW5583">
            <v>170</v>
          </cell>
        </row>
        <row r="5584">
          <cell r="L5584" t="str">
            <v>WA2602SO71LB</v>
          </cell>
          <cell r="BW5584">
            <v>314</v>
          </cell>
        </row>
        <row r="5585">
          <cell r="L5585" t="str">
            <v>WA2602SO72BL</v>
          </cell>
          <cell r="BW5585">
            <v>457</v>
          </cell>
        </row>
        <row r="5586">
          <cell r="L5586" t="str">
            <v>WA2602SO72BL</v>
          </cell>
          <cell r="BW5586">
            <v>770</v>
          </cell>
        </row>
        <row r="5587">
          <cell r="L5587" t="str">
            <v>WA2602SO72CM</v>
          </cell>
          <cell r="BW5587">
            <v>266</v>
          </cell>
        </row>
        <row r="5588">
          <cell r="L5588" t="str">
            <v>WA2602SO72CM</v>
          </cell>
          <cell r="BW5588">
            <v>410</v>
          </cell>
        </row>
        <row r="5589">
          <cell r="L5589" t="str">
            <v>WA2602SO73BK</v>
          </cell>
          <cell r="BW5589">
            <v>327</v>
          </cell>
        </row>
        <row r="5590">
          <cell r="L5590" t="str">
            <v>WA2602SO73BK</v>
          </cell>
          <cell r="BW5590">
            <v>706</v>
          </cell>
        </row>
        <row r="5591">
          <cell r="L5591" t="str">
            <v>WA2602SO73BL</v>
          </cell>
          <cell r="BW5591">
            <v>414</v>
          </cell>
        </row>
        <row r="5592">
          <cell r="L5592" t="str">
            <v>WA2602SO73BL</v>
          </cell>
          <cell r="BW5592">
            <v>892</v>
          </cell>
        </row>
        <row r="5593">
          <cell r="L5593" t="str">
            <v>WA2602SO75BL</v>
          </cell>
          <cell r="BW5593">
            <v>110</v>
          </cell>
        </row>
        <row r="5594">
          <cell r="L5594" t="str">
            <v>WA2602SO75BL</v>
          </cell>
          <cell r="BW5594">
            <v>268</v>
          </cell>
        </row>
        <row r="5595">
          <cell r="L5595" t="str">
            <v>WA2602SO75GR</v>
          </cell>
          <cell r="BW5595">
            <v>68</v>
          </cell>
        </row>
        <row r="5596">
          <cell r="L5596" t="str">
            <v>WA2602SO75GR</v>
          </cell>
          <cell r="BW5596">
            <v>160</v>
          </cell>
        </row>
        <row r="5597">
          <cell r="L5597" t="str">
            <v>WA2602SO81BK</v>
          </cell>
          <cell r="BW5597">
            <v>56</v>
          </cell>
        </row>
        <row r="5598">
          <cell r="L5598" t="str">
            <v>WA2602SO81BK</v>
          </cell>
          <cell r="BW5598">
            <v>82</v>
          </cell>
        </row>
        <row r="5599">
          <cell r="L5599" t="str">
            <v>WA2602SO81BK</v>
          </cell>
          <cell r="BW5599">
            <v>132</v>
          </cell>
        </row>
        <row r="5600">
          <cell r="L5600" t="str">
            <v>WA2602SO81GR</v>
          </cell>
          <cell r="BW5600">
            <v>66</v>
          </cell>
        </row>
        <row r="5601">
          <cell r="L5601" t="str">
            <v>WA2602SO81GR</v>
          </cell>
          <cell r="BW5601">
            <v>98</v>
          </cell>
        </row>
        <row r="5602">
          <cell r="L5602" t="str">
            <v>WA2602SO81GR</v>
          </cell>
          <cell r="BW5602">
            <v>166</v>
          </cell>
        </row>
        <row r="5603">
          <cell r="L5603" t="str">
            <v>WA2602SO81TC</v>
          </cell>
          <cell r="BW5603">
            <v>29</v>
          </cell>
        </row>
        <row r="5604">
          <cell r="L5604" t="str">
            <v>WA2602SO81TC</v>
          </cell>
          <cell r="BW5604">
            <v>36</v>
          </cell>
        </row>
        <row r="5605">
          <cell r="L5605" t="str">
            <v>WA2602SO81TC</v>
          </cell>
          <cell r="BW5605">
            <v>56</v>
          </cell>
        </row>
        <row r="5606">
          <cell r="L5606" t="str">
            <v>WA2602SOR1BK</v>
          </cell>
          <cell r="BW5606">
            <v>94</v>
          </cell>
        </row>
        <row r="5607">
          <cell r="L5607" t="str">
            <v>WA2602SOR1BK</v>
          </cell>
          <cell r="BW5607">
            <v>96</v>
          </cell>
        </row>
        <row r="5608">
          <cell r="L5608" t="str">
            <v>WA2602SOR1BK</v>
          </cell>
          <cell r="BW5608">
            <v>47</v>
          </cell>
        </row>
        <row r="5609">
          <cell r="L5609" t="str">
            <v>WA2602SOR1GN</v>
          </cell>
          <cell r="BW5609">
            <v>29</v>
          </cell>
        </row>
        <row r="5610">
          <cell r="L5610" t="str">
            <v>WA2602SOR1GN</v>
          </cell>
          <cell r="BW5610">
            <v>49</v>
          </cell>
        </row>
        <row r="5611">
          <cell r="L5611" t="str">
            <v>WA2602SOR1GN</v>
          </cell>
          <cell r="BW5611">
            <v>20</v>
          </cell>
        </row>
        <row r="5612">
          <cell r="L5612" t="str">
            <v>WA2602SR61BK</v>
          </cell>
          <cell r="BW5612">
            <v>192</v>
          </cell>
        </row>
        <row r="5613">
          <cell r="L5613" t="str">
            <v>WA2602SR61BK</v>
          </cell>
          <cell r="BW5613">
            <v>298</v>
          </cell>
        </row>
        <row r="5614">
          <cell r="L5614" t="str">
            <v>WA2602SR61CM</v>
          </cell>
          <cell r="BW5614">
            <v>61</v>
          </cell>
        </row>
        <row r="5615">
          <cell r="L5615" t="str">
            <v>WA2602SR61CM</v>
          </cell>
          <cell r="BW5615">
            <v>105</v>
          </cell>
        </row>
        <row r="5616">
          <cell r="L5616" t="str">
            <v>WA2602SR62BL</v>
          </cell>
          <cell r="BW5616">
            <v>136</v>
          </cell>
        </row>
        <row r="5617">
          <cell r="L5617" t="str">
            <v>WA2602SR62BL</v>
          </cell>
          <cell r="BW5617">
            <v>210</v>
          </cell>
        </row>
        <row r="5618">
          <cell r="L5618" t="str">
            <v>WA2602SR63BK</v>
          </cell>
          <cell r="BW5618">
            <v>72</v>
          </cell>
        </row>
        <row r="5619">
          <cell r="L5619" t="str">
            <v>WA2602SR63BK</v>
          </cell>
          <cell r="BW5619">
            <v>83</v>
          </cell>
        </row>
        <row r="5620">
          <cell r="L5620" t="str">
            <v>WA2602SR63WH</v>
          </cell>
          <cell r="BW5620">
            <v>148</v>
          </cell>
        </row>
        <row r="5621">
          <cell r="L5621" t="str">
            <v>WA2602SR63WH</v>
          </cell>
          <cell r="BW5621">
            <v>227</v>
          </cell>
        </row>
        <row r="5622">
          <cell r="L5622" t="str">
            <v>WA2602SR64BK</v>
          </cell>
          <cell r="BW5622">
            <v>87</v>
          </cell>
        </row>
        <row r="5623">
          <cell r="L5623" t="str">
            <v>WA2602SR64BK</v>
          </cell>
          <cell r="BW5623">
            <v>107</v>
          </cell>
        </row>
        <row r="5624">
          <cell r="L5624" t="str">
            <v>WA2602SR64WH</v>
          </cell>
          <cell r="BW5624">
            <v>183</v>
          </cell>
        </row>
        <row r="5625">
          <cell r="L5625" t="str">
            <v>WA2602SR64WH</v>
          </cell>
          <cell r="BW5625">
            <v>192</v>
          </cell>
        </row>
        <row r="5626">
          <cell r="L5626" t="str">
            <v>WA2602SR65TC</v>
          </cell>
          <cell r="BW5626">
            <v>138</v>
          </cell>
        </row>
        <row r="5627">
          <cell r="L5627" t="str">
            <v>WA2602SR65TC</v>
          </cell>
          <cell r="BW5627">
            <v>218</v>
          </cell>
        </row>
        <row r="5628">
          <cell r="L5628" t="str">
            <v>WA2602SR65WH</v>
          </cell>
          <cell r="BW5628">
            <v>150</v>
          </cell>
        </row>
        <row r="5629">
          <cell r="L5629" t="str">
            <v>WA2602SR65WH</v>
          </cell>
          <cell r="BW5629">
            <v>211</v>
          </cell>
        </row>
        <row r="5630">
          <cell r="L5630" t="str">
            <v>WA2602SS11NA</v>
          </cell>
          <cell r="BW5630">
            <v>138</v>
          </cell>
        </row>
        <row r="5631">
          <cell r="L5631" t="str">
            <v>WA2602SS11NA</v>
          </cell>
          <cell r="BW5631">
            <v>232</v>
          </cell>
        </row>
        <row r="5632">
          <cell r="L5632" t="str">
            <v>WA2602SS11NA</v>
          </cell>
          <cell r="BW5632">
            <v>155</v>
          </cell>
        </row>
        <row r="5633">
          <cell r="L5633" t="str">
            <v>WA2602SS11NA</v>
          </cell>
          <cell r="BW5633">
            <v>92</v>
          </cell>
        </row>
        <row r="5634">
          <cell r="L5634" t="str">
            <v>WA2602SS11SB</v>
          </cell>
          <cell r="BW5634">
            <v>168</v>
          </cell>
        </row>
        <row r="5635">
          <cell r="L5635" t="str">
            <v>WA2602SS11SB</v>
          </cell>
          <cell r="BW5635">
            <v>262</v>
          </cell>
        </row>
        <row r="5636">
          <cell r="L5636" t="str">
            <v>WA2602SS11SB</v>
          </cell>
          <cell r="BW5636">
            <v>162</v>
          </cell>
        </row>
        <row r="5637">
          <cell r="L5637" t="str">
            <v>WA2602SS11SB</v>
          </cell>
          <cell r="BW5637">
            <v>108</v>
          </cell>
        </row>
        <row r="5638">
          <cell r="L5638" t="str">
            <v>WA2602SS12NA</v>
          </cell>
          <cell r="BW5638">
            <v>407</v>
          </cell>
        </row>
        <row r="5639">
          <cell r="L5639" t="str">
            <v>WA2602SS12NA</v>
          </cell>
          <cell r="BW5639">
            <v>420</v>
          </cell>
        </row>
        <row r="5640">
          <cell r="L5640" t="str">
            <v>WA2602SS12NA</v>
          </cell>
          <cell r="BW5640">
            <v>289</v>
          </cell>
        </row>
        <row r="5641">
          <cell r="L5641" t="str">
            <v>WA2602SS12NA</v>
          </cell>
          <cell r="BW5641">
            <v>217</v>
          </cell>
        </row>
        <row r="5642">
          <cell r="L5642" t="str">
            <v>WA2602SS12YE</v>
          </cell>
          <cell r="BW5642">
            <v>99</v>
          </cell>
        </row>
        <row r="5643">
          <cell r="L5643" t="str">
            <v>WA2602SS12YE</v>
          </cell>
          <cell r="BW5643">
            <v>124</v>
          </cell>
        </row>
        <row r="5644">
          <cell r="L5644" t="str">
            <v>WA2602SS12YE</v>
          </cell>
          <cell r="BW5644">
            <v>105</v>
          </cell>
        </row>
        <row r="5645">
          <cell r="L5645" t="str">
            <v>WA2602SS12YE</v>
          </cell>
          <cell r="BW5645">
            <v>61</v>
          </cell>
        </row>
        <row r="5646">
          <cell r="L5646" t="str">
            <v>WA2602SS13BK</v>
          </cell>
          <cell r="BW5646">
            <v>233</v>
          </cell>
        </row>
        <row r="5647">
          <cell r="L5647" t="str">
            <v>WA2602SS13BK</v>
          </cell>
          <cell r="BW5647">
            <v>352</v>
          </cell>
        </row>
        <row r="5648">
          <cell r="L5648" t="str">
            <v>WA2602SS13BK</v>
          </cell>
          <cell r="BW5648">
            <v>240</v>
          </cell>
        </row>
        <row r="5649">
          <cell r="L5649" t="str">
            <v>WA2602SS13BK</v>
          </cell>
          <cell r="BW5649">
            <v>133</v>
          </cell>
        </row>
        <row r="5650">
          <cell r="L5650" t="str">
            <v>WA2602SS13GN</v>
          </cell>
          <cell r="BW5650">
            <v>185</v>
          </cell>
        </row>
        <row r="5651">
          <cell r="L5651" t="str">
            <v>WA2602SS13GN</v>
          </cell>
          <cell r="BW5651">
            <v>273</v>
          </cell>
        </row>
        <row r="5652">
          <cell r="L5652" t="str">
            <v>WA2602SS13GN</v>
          </cell>
          <cell r="BW5652">
            <v>190</v>
          </cell>
        </row>
        <row r="5653">
          <cell r="L5653" t="str">
            <v>WA2602SS13GN</v>
          </cell>
          <cell r="BW5653">
            <v>112</v>
          </cell>
        </row>
        <row r="5654">
          <cell r="L5654" t="str">
            <v>WA2602SS14BL</v>
          </cell>
          <cell r="BW5654">
            <v>178</v>
          </cell>
        </row>
        <row r="5655">
          <cell r="L5655" t="str">
            <v>WA2602SS14BL</v>
          </cell>
          <cell r="BW5655">
            <v>268</v>
          </cell>
        </row>
        <row r="5656">
          <cell r="L5656" t="str">
            <v>WA2602SS14BL</v>
          </cell>
          <cell r="BW5656">
            <v>196</v>
          </cell>
        </row>
        <row r="5657">
          <cell r="L5657" t="str">
            <v>WA2602SS14BL</v>
          </cell>
          <cell r="BW5657">
            <v>113</v>
          </cell>
        </row>
        <row r="5658">
          <cell r="L5658" t="str">
            <v>WA2602SS14GR</v>
          </cell>
          <cell r="BW5658">
            <v>204</v>
          </cell>
        </row>
        <row r="5659">
          <cell r="L5659" t="str">
            <v>WA2602SS14GR</v>
          </cell>
          <cell r="BW5659">
            <v>320</v>
          </cell>
        </row>
        <row r="5660">
          <cell r="L5660" t="str">
            <v>WA2602SS14GR</v>
          </cell>
          <cell r="BW5660">
            <v>244</v>
          </cell>
        </row>
        <row r="5661">
          <cell r="L5661" t="str">
            <v>WA2602SS14GR</v>
          </cell>
          <cell r="BW5661">
            <v>132</v>
          </cell>
        </row>
        <row r="5662">
          <cell r="L5662" t="str">
            <v>WA2602SS16TC</v>
          </cell>
          <cell r="BW5662">
            <v>133</v>
          </cell>
        </row>
        <row r="5663">
          <cell r="L5663" t="str">
            <v>WA2602SS16TC</v>
          </cell>
          <cell r="BW5663">
            <v>97</v>
          </cell>
        </row>
        <row r="5664">
          <cell r="L5664" t="str">
            <v>WA2602SS16TC</v>
          </cell>
          <cell r="BW5664">
            <v>108</v>
          </cell>
        </row>
        <row r="5665">
          <cell r="L5665" t="str">
            <v>WA2602SS16TC</v>
          </cell>
          <cell r="BW5665">
            <v>101</v>
          </cell>
        </row>
        <row r="5666">
          <cell r="L5666" t="str">
            <v>WA2602SS17BL</v>
          </cell>
          <cell r="BW5666">
            <v>59</v>
          </cell>
        </row>
        <row r="5667">
          <cell r="L5667" t="str">
            <v>WA2602SS17BL</v>
          </cell>
          <cell r="BW5667">
            <v>76</v>
          </cell>
        </row>
        <row r="5668">
          <cell r="L5668" t="str">
            <v>WA2602SS17BL</v>
          </cell>
          <cell r="BW5668">
            <v>49</v>
          </cell>
        </row>
        <row r="5669">
          <cell r="L5669" t="str">
            <v>WA2602SS17YE</v>
          </cell>
          <cell r="BW5669">
            <v>63</v>
          </cell>
        </row>
        <row r="5670">
          <cell r="L5670" t="str">
            <v>WA2602SS17YE</v>
          </cell>
          <cell r="BW5670">
            <v>77</v>
          </cell>
        </row>
        <row r="5671">
          <cell r="L5671" t="str">
            <v>WA2602SS17YE</v>
          </cell>
          <cell r="BW5671">
            <v>48</v>
          </cell>
        </row>
        <row r="5672">
          <cell r="L5672" t="str">
            <v>WA2602SS31BK</v>
          </cell>
          <cell r="BW5672">
            <v>751</v>
          </cell>
        </row>
        <row r="5673">
          <cell r="L5673" t="str">
            <v>WA2602SS31BK</v>
          </cell>
          <cell r="BW5673">
            <v>714</v>
          </cell>
        </row>
        <row r="5674">
          <cell r="L5674" t="str">
            <v>WA2602SS31BK</v>
          </cell>
          <cell r="BW5674">
            <v>655</v>
          </cell>
        </row>
        <row r="5675">
          <cell r="L5675" t="str">
            <v>WA2602SS31BK</v>
          </cell>
          <cell r="BW5675">
            <v>333</v>
          </cell>
        </row>
        <row r="5676">
          <cell r="L5676" t="str">
            <v>WA2602SS31IN</v>
          </cell>
          <cell r="BW5676">
            <v>415</v>
          </cell>
        </row>
        <row r="5677">
          <cell r="L5677" t="str">
            <v>WA2602SS31IN</v>
          </cell>
          <cell r="BW5677">
            <v>538</v>
          </cell>
        </row>
        <row r="5678">
          <cell r="L5678" t="str">
            <v>WA2602SS31IN</v>
          </cell>
          <cell r="BW5678">
            <v>569</v>
          </cell>
        </row>
        <row r="5679">
          <cell r="L5679" t="str">
            <v>WA2602SS31IN</v>
          </cell>
          <cell r="BW5679">
            <v>250</v>
          </cell>
        </row>
        <row r="5680">
          <cell r="L5680" t="str">
            <v>WA2602SS32IN</v>
          </cell>
          <cell r="BW5680">
            <v>131</v>
          </cell>
        </row>
        <row r="5681">
          <cell r="L5681" t="str">
            <v>WA2602SS32IN</v>
          </cell>
          <cell r="BW5681">
            <v>219</v>
          </cell>
        </row>
        <row r="5682">
          <cell r="L5682" t="str">
            <v>WA2602SS32IN</v>
          </cell>
          <cell r="BW5682">
            <v>211</v>
          </cell>
        </row>
        <row r="5683">
          <cell r="L5683" t="str">
            <v>WA2602SS32IN</v>
          </cell>
          <cell r="BW5683">
            <v>65</v>
          </cell>
        </row>
        <row r="5684">
          <cell r="L5684" t="str">
            <v>WA2602SS32WH</v>
          </cell>
          <cell r="BW5684">
            <v>175</v>
          </cell>
        </row>
        <row r="5685">
          <cell r="L5685" t="str">
            <v>WA2602SS32WH</v>
          </cell>
          <cell r="BW5685">
            <v>203</v>
          </cell>
        </row>
        <row r="5686">
          <cell r="L5686" t="str">
            <v>WA2602SS32WH</v>
          </cell>
          <cell r="BW5686">
            <v>191</v>
          </cell>
        </row>
        <row r="5687">
          <cell r="L5687" t="str">
            <v>WA2602SS32WH</v>
          </cell>
          <cell r="BW5687">
            <v>105</v>
          </cell>
        </row>
        <row r="5688">
          <cell r="L5688" t="str">
            <v>WA2602SS61LP</v>
          </cell>
          <cell r="BW5688">
            <v>76</v>
          </cell>
        </row>
        <row r="5689">
          <cell r="L5689" t="str">
            <v>WA2602SS61LP</v>
          </cell>
          <cell r="BW5689">
            <v>89</v>
          </cell>
        </row>
        <row r="5690">
          <cell r="L5690" t="str">
            <v>WA2602SS61NA</v>
          </cell>
          <cell r="BW5690">
            <v>48</v>
          </cell>
        </row>
        <row r="5691">
          <cell r="L5691" t="str">
            <v>WA2602SS61NA</v>
          </cell>
          <cell r="BW5691">
            <v>98</v>
          </cell>
        </row>
        <row r="5692">
          <cell r="L5692" t="str">
            <v>WA2602SS61WH</v>
          </cell>
          <cell r="BW5692">
            <v>132</v>
          </cell>
        </row>
        <row r="5693">
          <cell r="L5693" t="str">
            <v>WA2602SS61WH</v>
          </cell>
          <cell r="BW5693">
            <v>241</v>
          </cell>
        </row>
        <row r="5694">
          <cell r="L5694" t="str">
            <v>WA2602SS62BL</v>
          </cell>
          <cell r="BW5694">
            <v>222</v>
          </cell>
        </row>
        <row r="5695">
          <cell r="L5695" t="str">
            <v>WA2602SS62BL</v>
          </cell>
          <cell r="BW5695">
            <v>241</v>
          </cell>
        </row>
        <row r="5696">
          <cell r="L5696" t="str">
            <v>WA2602SS63RD</v>
          </cell>
          <cell r="BW5696">
            <v>39</v>
          </cell>
        </row>
        <row r="5697">
          <cell r="L5697" t="str">
            <v>WA2602SS63RD</v>
          </cell>
          <cell r="BW5697">
            <v>50</v>
          </cell>
        </row>
        <row r="5698">
          <cell r="L5698" t="str">
            <v>WA2602SS63WH</v>
          </cell>
          <cell r="BW5698">
            <v>131</v>
          </cell>
        </row>
        <row r="5699">
          <cell r="L5699" t="str">
            <v>WA2602SS63WH</v>
          </cell>
          <cell r="BW5699">
            <v>139</v>
          </cell>
        </row>
        <row r="5700">
          <cell r="L5700" t="str">
            <v>WA2602SS64LN</v>
          </cell>
          <cell r="BW5700">
            <v>533</v>
          </cell>
        </row>
        <row r="5701">
          <cell r="L5701" t="str">
            <v>WA2602SS64PE</v>
          </cell>
          <cell r="BW5701">
            <v>173</v>
          </cell>
        </row>
        <row r="5702">
          <cell r="L5702" t="str">
            <v>WA2602SS65SB</v>
          </cell>
          <cell r="BW5702">
            <v>182</v>
          </cell>
        </row>
        <row r="5703">
          <cell r="L5703" t="str">
            <v>WA2602SS65SB</v>
          </cell>
          <cell r="BW5703">
            <v>168</v>
          </cell>
        </row>
        <row r="5704">
          <cell r="L5704" t="str">
            <v>WA2602SS65WH</v>
          </cell>
          <cell r="BW5704">
            <v>277</v>
          </cell>
        </row>
        <row r="5705">
          <cell r="L5705" t="str">
            <v>WA2602SS65WH</v>
          </cell>
          <cell r="BW5705">
            <v>256</v>
          </cell>
        </row>
        <row r="5706">
          <cell r="L5706" t="str">
            <v>WA2602SS66WH</v>
          </cell>
          <cell r="BW5706">
            <v>266</v>
          </cell>
        </row>
        <row r="5707">
          <cell r="L5707" t="str">
            <v>WA2602SS71BL</v>
          </cell>
          <cell r="BW5707">
            <v>76</v>
          </cell>
        </row>
        <row r="5708">
          <cell r="L5708" t="str">
            <v>WA2602SS71BL</v>
          </cell>
          <cell r="BW5708">
            <v>268</v>
          </cell>
        </row>
        <row r="5709">
          <cell r="L5709" t="str">
            <v>WA2602SS71LB</v>
          </cell>
          <cell r="BW5709">
            <v>93</v>
          </cell>
        </row>
        <row r="5710">
          <cell r="L5710" t="str">
            <v>WA2602SS71LB</v>
          </cell>
          <cell r="BW5710">
            <v>211</v>
          </cell>
        </row>
        <row r="5711">
          <cell r="L5711" t="str">
            <v>WA2602ST01BK</v>
          </cell>
          <cell r="BW5711">
            <v>2068</v>
          </cell>
        </row>
        <row r="5712">
          <cell r="L5712" t="str">
            <v>WA2602ST01BK</v>
          </cell>
          <cell r="BW5712">
            <v>1811</v>
          </cell>
        </row>
        <row r="5713">
          <cell r="L5713" t="str">
            <v>WA2602ST01BK</v>
          </cell>
          <cell r="BW5713">
            <v>1520</v>
          </cell>
        </row>
        <row r="5714">
          <cell r="L5714" t="str">
            <v>WA2602ST01BK</v>
          </cell>
          <cell r="BW5714">
            <v>1533</v>
          </cell>
        </row>
        <row r="5715">
          <cell r="L5715" t="str">
            <v>WA2602ST01BK</v>
          </cell>
          <cell r="BW5715">
            <v>799</v>
          </cell>
        </row>
        <row r="5716">
          <cell r="L5716" t="str">
            <v>WA2602ST01BK</v>
          </cell>
          <cell r="BW5716">
            <v>880</v>
          </cell>
        </row>
        <row r="5717">
          <cell r="L5717" t="str">
            <v>WA2602ST01BL</v>
          </cell>
          <cell r="BW5717">
            <v>40</v>
          </cell>
        </row>
        <row r="5718">
          <cell r="L5718" t="str">
            <v>WA2602ST01BL</v>
          </cell>
          <cell r="BW5718">
            <v>57</v>
          </cell>
        </row>
        <row r="5719">
          <cell r="L5719" t="str">
            <v>WA2602ST01BL</v>
          </cell>
          <cell r="BW5719">
            <v>69</v>
          </cell>
        </row>
        <row r="5720">
          <cell r="L5720" t="str">
            <v>WA2602ST01BL</v>
          </cell>
          <cell r="BW5720">
            <v>8</v>
          </cell>
        </row>
        <row r="5721">
          <cell r="L5721" t="str">
            <v>WA2602ST01LG</v>
          </cell>
          <cell r="BW5721">
            <v>981</v>
          </cell>
        </row>
        <row r="5722">
          <cell r="L5722" t="str">
            <v>WA2602ST01LG</v>
          </cell>
          <cell r="BW5722">
            <v>1056</v>
          </cell>
        </row>
        <row r="5723">
          <cell r="L5723" t="str">
            <v>WA2602ST01LG</v>
          </cell>
          <cell r="BW5723">
            <v>1097</v>
          </cell>
        </row>
        <row r="5724">
          <cell r="L5724" t="str">
            <v>WA2602ST01LG</v>
          </cell>
          <cell r="BW5724">
            <v>653</v>
          </cell>
        </row>
        <row r="5725">
          <cell r="L5725" t="str">
            <v>WA2602ST01LG</v>
          </cell>
          <cell r="BW5725">
            <v>377</v>
          </cell>
        </row>
        <row r="5726">
          <cell r="L5726" t="str">
            <v>WA2602ST01LG</v>
          </cell>
          <cell r="BW5726">
            <v>291</v>
          </cell>
        </row>
        <row r="5727">
          <cell r="L5727" t="str">
            <v>WA2602ST01LY</v>
          </cell>
          <cell r="BW5727">
            <v>303</v>
          </cell>
        </row>
        <row r="5728">
          <cell r="L5728" t="str">
            <v>WA2602ST01LY</v>
          </cell>
          <cell r="BW5728">
            <v>302</v>
          </cell>
        </row>
        <row r="5729">
          <cell r="L5729" t="str">
            <v>WA2602ST01LY</v>
          </cell>
          <cell r="BW5729">
            <v>215</v>
          </cell>
        </row>
        <row r="5730">
          <cell r="L5730" t="str">
            <v>WA2602ST01LY</v>
          </cell>
          <cell r="BW5730">
            <v>182</v>
          </cell>
        </row>
        <row r="5731">
          <cell r="L5731" t="str">
            <v>WA2602ST01LY</v>
          </cell>
          <cell r="BW5731">
            <v>81</v>
          </cell>
        </row>
        <row r="5732">
          <cell r="L5732" t="str">
            <v>WA2602ST01LY</v>
          </cell>
          <cell r="BW5732">
            <v>69</v>
          </cell>
        </row>
        <row r="5733">
          <cell r="L5733" t="str">
            <v>WA2602ST01PI</v>
          </cell>
          <cell r="BW5733">
            <v>44</v>
          </cell>
        </row>
        <row r="5734">
          <cell r="L5734" t="str">
            <v>WA2602ST01PI</v>
          </cell>
          <cell r="BW5734">
            <v>65</v>
          </cell>
        </row>
        <row r="5735">
          <cell r="L5735" t="str">
            <v>WA2602ST01PI</v>
          </cell>
          <cell r="BW5735">
            <v>75</v>
          </cell>
        </row>
        <row r="5736">
          <cell r="L5736" t="str">
            <v>WA2602ST01PI</v>
          </cell>
          <cell r="BW5736">
            <v>17</v>
          </cell>
        </row>
        <row r="5737">
          <cell r="L5737" t="str">
            <v>WA2602ST01SB</v>
          </cell>
          <cell r="BW5737">
            <v>247</v>
          </cell>
        </row>
        <row r="5738">
          <cell r="L5738" t="str">
            <v>WA2602ST01SB</v>
          </cell>
          <cell r="BW5738">
            <v>294</v>
          </cell>
        </row>
        <row r="5739">
          <cell r="L5739" t="str">
            <v>WA2602ST01SB</v>
          </cell>
          <cell r="BW5739">
            <v>230</v>
          </cell>
        </row>
        <row r="5740">
          <cell r="L5740" t="str">
            <v>WA2602ST01SB</v>
          </cell>
          <cell r="BW5740">
            <v>151</v>
          </cell>
        </row>
        <row r="5741">
          <cell r="L5741" t="str">
            <v>WA2602ST01SB</v>
          </cell>
          <cell r="BW5741">
            <v>98</v>
          </cell>
        </row>
        <row r="5742">
          <cell r="L5742" t="str">
            <v>WA2602ST01SB</v>
          </cell>
          <cell r="BW5742">
            <v>54</v>
          </cell>
        </row>
        <row r="5743">
          <cell r="L5743" t="str">
            <v>WA2602ST01WH</v>
          </cell>
          <cell r="BW5743">
            <v>1746</v>
          </cell>
        </row>
        <row r="5744">
          <cell r="L5744" t="str">
            <v>WA2602ST01WH</v>
          </cell>
          <cell r="BW5744">
            <v>2110</v>
          </cell>
        </row>
        <row r="5745">
          <cell r="L5745" t="str">
            <v>WA2602ST01WH</v>
          </cell>
          <cell r="BW5745">
            <v>2468</v>
          </cell>
        </row>
        <row r="5746">
          <cell r="L5746" t="str">
            <v>WA2602ST01WH</v>
          </cell>
          <cell r="BW5746">
            <v>1066</v>
          </cell>
        </row>
        <row r="5747">
          <cell r="L5747" t="str">
            <v>WA2602ST01WH</v>
          </cell>
          <cell r="BW5747">
            <v>1081</v>
          </cell>
        </row>
        <row r="5748">
          <cell r="L5748" t="str">
            <v>WA2602ST01WH</v>
          </cell>
          <cell r="BW5748">
            <v>489</v>
          </cell>
        </row>
        <row r="5749">
          <cell r="L5749" t="str">
            <v>WA2602ST02BK</v>
          </cell>
          <cell r="BW5749">
            <v>2465</v>
          </cell>
        </row>
        <row r="5750">
          <cell r="L5750" t="str">
            <v>WA2602ST02BK</v>
          </cell>
          <cell r="BW5750">
            <v>2287</v>
          </cell>
        </row>
        <row r="5751">
          <cell r="L5751" t="str">
            <v>WA2602ST02BK</v>
          </cell>
          <cell r="BW5751">
            <v>1827</v>
          </cell>
        </row>
        <row r="5752">
          <cell r="L5752" t="str">
            <v>WA2602ST02BK</v>
          </cell>
          <cell r="BW5752">
            <v>1636</v>
          </cell>
        </row>
        <row r="5753">
          <cell r="L5753" t="str">
            <v>WA2602ST02BK</v>
          </cell>
          <cell r="BW5753">
            <v>861</v>
          </cell>
        </row>
        <row r="5754">
          <cell r="L5754" t="str">
            <v>WA2602ST02BK</v>
          </cell>
          <cell r="BW5754">
            <v>895</v>
          </cell>
        </row>
        <row r="5755">
          <cell r="L5755" t="str">
            <v>WA2602ST02GN</v>
          </cell>
          <cell r="BW5755">
            <v>1293</v>
          </cell>
        </row>
        <row r="5756">
          <cell r="L5756" t="str">
            <v>WA2602ST02GN</v>
          </cell>
          <cell r="BW5756">
            <v>1336</v>
          </cell>
        </row>
        <row r="5757">
          <cell r="L5757" t="str">
            <v>WA2602ST02GN</v>
          </cell>
          <cell r="BW5757">
            <v>1029</v>
          </cell>
        </row>
        <row r="5758">
          <cell r="L5758" t="str">
            <v>WA2602ST02GN</v>
          </cell>
          <cell r="BW5758">
            <v>886</v>
          </cell>
        </row>
        <row r="5759">
          <cell r="L5759" t="str">
            <v>WA2602ST02GN</v>
          </cell>
          <cell r="BW5759">
            <v>427</v>
          </cell>
        </row>
        <row r="5760">
          <cell r="L5760" t="str">
            <v>WA2602ST02GN</v>
          </cell>
          <cell r="BW5760">
            <v>386</v>
          </cell>
        </row>
        <row r="5761">
          <cell r="L5761" t="str">
            <v>WA2602ST02MI</v>
          </cell>
          <cell r="BW5761">
            <v>701</v>
          </cell>
        </row>
        <row r="5762">
          <cell r="L5762" t="str">
            <v>WA2602ST02MI</v>
          </cell>
          <cell r="BW5762">
            <v>899</v>
          </cell>
        </row>
        <row r="5763">
          <cell r="L5763" t="str">
            <v>WA2602ST02MI</v>
          </cell>
          <cell r="BW5763">
            <v>1040</v>
          </cell>
        </row>
        <row r="5764">
          <cell r="L5764" t="str">
            <v>WA2602ST02MI</v>
          </cell>
          <cell r="BW5764">
            <v>517</v>
          </cell>
        </row>
        <row r="5765">
          <cell r="L5765" t="str">
            <v>WA2602ST02MI</v>
          </cell>
          <cell r="BW5765">
            <v>389</v>
          </cell>
        </row>
        <row r="5766">
          <cell r="L5766" t="str">
            <v>WA2602ST02MI</v>
          </cell>
          <cell r="BW5766">
            <v>192</v>
          </cell>
        </row>
        <row r="5767">
          <cell r="L5767" t="str">
            <v>WA2602ST02WH</v>
          </cell>
          <cell r="BW5767">
            <v>2001</v>
          </cell>
        </row>
        <row r="5768">
          <cell r="L5768" t="str">
            <v>WA2602ST02WH</v>
          </cell>
          <cell r="BW5768">
            <v>2527</v>
          </cell>
        </row>
        <row r="5769">
          <cell r="L5769" t="str">
            <v>WA2602ST02WH</v>
          </cell>
          <cell r="BW5769">
            <v>2542</v>
          </cell>
        </row>
        <row r="5770">
          <cell r="L5770" t="str">
            <v>WA2602ST02WH</v>
          </cell>
          <cell r="BW5770">
            <v>1147</v>
          </cell>
        </row>
        <row r="5771">
          <cell r="L5771" t="str">
            <v>WA2602ST02WH</v>
          </cell>
          <cell r="BW5771">
            <v>1106</v>
          </cell>
        </row>
        <row r="5772">
          <cell r="L5772" t="str">
            <v>WA2602ST02WH</v>
          </cell>
          <cell r="BW5772">
            <v>499</v>
          </cell>
        </row>
        <row r="5773">
          <cell r="L5773" t="str">
            <v>WA2602ST03BK</v>
          </cell>
          <cell r="BW5773">
            <v>460</v>
          </cell>
        </row>
        <row r="5774">
          <cell r="L5774" t="str">
            <v>WA2602ST03BK</v>
          </cell>
          <cell r="BW5774">
            <v>510</v>
          </cell>
        </row>
        <row r="5775">
          <cell r="L5775" t="str">
            <v>WA2602ST03BK</v>
          </cell>
          <cell r="BW5775">
            <v>459</v>
          </cell>
        </row>
        <row r="5776">
          <cell r="L5776" t="str">
            <v>WA2602ST03BK</v>
          </cell>
          <cell r="BW5776">
            <v>355</v>
          </cell>
        </row>
        <row r="5777">
          <cell r="L5777" t="str">
            <v>WA2602ST03BK</v>
          </cell>
          <cell r="BW5777">
            <v>182</v>
          </cell>
        </row>
        <row r="5778">
          <cell r="L5778" t="str">
            <v>WA2602ST03LI</v>
          </cell>
          <cell r="BW5778">
            <v>144</v>
          </cell>
        </row>
        <row r="5779">
          <cell r="L5779" t="str">
            <v>WA2602ST03LI</v>
          </cell>
          <cell r="BW5779">
            <v>201</v>
          </cell>
        </row>
        <row r="5780">
          <cell r="L5780" t="str">
            <v>WA2602ST03LI</v>
          </cell>
          <cell r="BW5780">
            <v>220</v>
          </cell>
        </row>
        <row r="5781">
          <cell r="L5781" t="str">
            <v>WA2602ST03LI</v>
          </cell>
          <cell r="BW5781">
            <v>80</v>
          </cell>
        </row>
        <row r="5782">
          <cell r="L5782" t="str">
            <v>WA2602ST03LI</v>
          </cell>
          <cell r="BW5782">
            <v>63</v>
          </cell>
        </row>
        <row r="5783">
          <cell r="L5783" t="str">
            <v>WA2602ST03NA</v>
          </cell>
          <cell r="BW5783">
            <v>234</v>
          </cell>
        </row>
        <row r="5784">
          <cell r="L5784" t="str">
            <v>WA2602ST03NA</v>
          </cell>
          <cell r="BW5784">
            <v>289</v>
          </cell>
        </row>
        <row r="5785">
          <cell r="L5785" t="str">
            <v>WA2602ST03NA</v>
          </cell>
          <cell r="BW5785">
            <v>385</v>
          </cell>
        </row>
        <row r="5786">
          <cell r="L5786" t="str">
            <v>WA2602ST03NA</v>
          </cell>
          <cell r="BW5786">
            <v>116</v>
          </cell>
        </row>
        <row r="5787">
          <cell r="L5787" t="str">
            <v>WA2602ST03NA</v>
          </cell>
          <cell r="BW5787">
            <v>106</v>
          </cell>
        </row>
        <row r="5788">
          <cell r="L5788" t="str">
            <v>WA2602ST03TC</v>
          </cell>
          <cell r="BW5788">
            <v>99</v>
          </cell>
        </row>
        <row r="5789">
          <cell r="L5789" t="str">
            <v>WA2602ST03TC</v>
          </cell>
          <cell r="BW5789">
            <v>136</v>
          </cell>
        </row>
        <row r="5790">
          <cell r="L5790" t="str">
            <v>WA2602ST03TC</v>
          </cell>
          <cell r="BW5790">
            <v>121</v>
          </cell>
        </row>
        <row r="5791">
          <cell r="L5791" t="str">
            <v>WA2602ST03TC</v>
          </cell>
          <cell r="BW5791">
            <v>53</v>
          </cell>
        </row>
        <row r="5792">
          <cell r="L5792" t="str">
            <v>WA2602ST03WH</v>
          </cell>
          <cell r="BW5792">
            <v>325</v>
          </cell>
        </row>
        <row r="5793">
          <cell r="L5793" t="str">
            <v>WA2602ST03WH</v>
          </cell>
          <cell r="BW5793">
            <v>415</v>
          </cell>
        </row>
        <row r="5794">
          <cell r="L5794" t="str">
            <v>WA2602ST03WH</v>
          </cell>
          <cell r="BW5794">
            <v>589</v>
          </cell>
        </row>
        <row r="5795">
          <cell r="L5795" t="str">
            <v>WA2602ST03WH</v>
          </cell>
          <cell r="BW5795">
            <v>208</v>
          </cell>
        </row>
        <row r="5796">
          <cell r="L5796" t="str">
            <v>WA2602ST03WH</v>
          </cell>
          <cell r="BW5796">
            <v>314</v>
          </cell>
        </row>
        <row r="5797">
          <cell r="L5797" t="str">
            <v>WA2602ST04BK</v>
          </cell>
          <cell r="BW5797">
            <v>764</v>
          </cell>
        </row>
        <row r="5798">
          <cell r="L5798" t="str">
            <v>WA2602ST04BK</v>
          </cell>
          <cell r="BW5798">
            <v>1142</v>
          </cell>
        </row>
        <row r="5799">
          <cell r="L5799" t="str">
            <v>WA2602ST04BK</v>
          </cell>
          <cell r="BW5799">
            <v>993</v>
          </cell>
        </row>
        <row r="5800">
          <cell r="L5800" t="str">
            <v>WA2602ST04BK</v>
          </cell>
          <cell r="BW5800">
            <v>348</v>
          </cell>
        </row>
        <row r="5801">
          <cell r="L5801" t="str">
            <v>WA2602ST04BK</v>
          </cell>
          <cell r="BW5801">
            <v>403</v>
          </cell>
        </row>
        <row r="5802">
          <cell r="L5802" t="str">
            <v>WA2602ST04BK</v>
          </cell>
          <cell r="BW5802">
            <v>147</v>
          </cell>
        </row>
        <row r="5803">
          <cell r="L5803" t="str">
            <v>WA2602ST04GR</v>
          </cell>
          <cell r="BW5803">
            <v>459</v>
          </cell>
        </row>
        <row r="5804">
          <cell r="L5804" t="str">
            <v>WA2602ST04GR</v>
          </cell>
          <cell r="BW5804">
            <v>728</v>
          </cell>
        </row>
        <row r="5805">
          <cell r="L5805" t="str">
            <v>WA2602ST04GR</v>
          </cell>
          <cell r="BW5805">
            <v>590</v>
          </cell>
        </row>
        <row r="5806">
          <cell r="L5806" t="str">
            <v>WA2602ST04GR</v>
          </cell>
          <cell r="BW5806">
            <v>233</v>
          </cell>
        </row>
        <row r="5807">
          <cell r="L5807" t="str">
            <v>WA2602ST04GR</v>
          </cell>
          <cell r="BW5807">
            <v>245</v>
          </cell>
        </row>
        <row r="5808">
          <cell r="L5808" t="str">
            <v>WA2602ST04GR</v>
          </cell>
          <cell r="BW5808">
            <v>133</v>
          </cell>
        </row>
        <row r="5809">
          <cell r="L5809" t="str">
            <v>WA2602ST04LB</v>
          </cell>
          <cell r="BW5809">
            <v>449</v>
          </cell>
        </row>
        <row r="5810">
          <cell r="L5810" t="str">
            <v>WA2602ST04LB</v>
          </cell>
          <cell r="BW5810">
            <v>696</v>
          </cell>
        </row>
        <row r="5811">
          <cell r="L5811" t="str">
            <v>WA2602ST04LB</v>
          </cell>
          <cell r="BW5811">
            <v>648</v>
          </cell>
        </row>
        <row r="5812">
          <cell r="L5812" t="str">
            <v>WA2602ST04LB</v>
          </cell>
          <cell r="BW5812">
            <v>172</v>
          </cell>
        </row>
        <row r="5813">
          <cell r="L5813" t="str">
            <v>WA2602ST04LB</v>
          </cell>
          <cell r="BW5813">
            <v>251</v>
          </cell>
        </row>
        <row r="5814">
          <cell r="L5814" t="str">
            <v>WA2602ST04LB</v>
          </cell>
          <cell r="BW5814">
            <v>131</v>
          </cell>
        </row>
        <row r="5815">
          <cell r="L5815" t="str">
            <v>WA2602ST05BE</v>
          </cell>
          <cell r="BW5815">
            <v>182</v>
          </cell>
        </row>
        <row r="5816">
          <cell r="L5816" t="str">
            <v>WA2602ST05BE</v>
          </cell>
          <cell r="BW5816">
            <v>197</v>
          </cell>
        </row>
        <row r="5817">
          <cell r="L5817" t="str">
            <v>WA2602ST05BE</v>
          </cell>
          <cell r="BW5817">
            <v>221</v>
          </cell>
        </row>
        <row r="5818">
          <cell r="L5818" t="str">
            <v>WA2602ST05BE</v>
          </cell>
          <cell r="BW5818">
            <v>90</v>
          </cell>
        </row>
        <row r="5819">
          <cell r="L5819" t="str">
            <v>WA2602ST05BK</v>
          </cell>
          <cell r="BW5819">
            <v>294</v>
          </cell>
        </row>
        <row r="5820">
          <cell r="L5820" t="str">
            <v>WA2602ST05BK</v>
          </cell>
          <cell r="BW5820">
            <v>325</v>
          </cell>
        </row>
        <row r="5821">
          <cell r="L5821" t="str">
            <v>WA2602ST05BK</v>
          </cell>
          <cell r="BW5821">
            <v>321</v>
          </cell>
        </row>
        <row r="5822">
          <cell r="L5822" t="str">
            <v>WA2602ST05BK</v>
          </cell>
          <cell r="BW5822">
            <v>131</v>
          </cell>
        </row>
        <row r="5823">
          <cell r="L5823" t="str">
            <v>WA2602ST06GR</v>
          </cell>
          <cell r="BW5823">
            <v>162</v>
          </cell>
        </row>
        <row r="5824">
          <cell r="L5824" t="str">
            <v>WA2602ST06GR</v>
          </cell>
          <cell r="BW5824">
            <v>254</v>
          </cell>
        </row>
        <row r="5825">
          <cell r="L5825" t="str">
            <v>WA2602ST06GR</v>
          </cell>
          <cell r="BW5825">
            <v>307</v>
          </cell>
        </row>
        <row r="5826">
          <cell r="L5826" t="str">
            <v>WA2602ST06GR</v>
          </cell>
          <cell r="BW5826">
            <v>85</v>
          </cell>
        </row>
        <row r="5827">
          <cell r="L5827" t="str">
            <v>WA2602ST06YE</v>
          </cell>
          <cell r="BW5827">
            <v>104</v>
          </cell>
        </row>
        <row r="5828">
          <cell r="L5828" t="str">
            <v>WA2602ST06YE</v>
          </cell>
          <cell r="BW5828">
            <v>106</v>
          </cell>
        </row>
        <row r="5829">
          <cell r="L5829" t="str">
            <v>WA2602ST06YE</v>
          </cell>
          <cell r="BW5829">
            <v>92</v>
          </cell>
        </row>
        <row r="5830">
          <cell r="L5830" t="str">
            <v>WA2602ST06YE</v>
          </cell>
          <cell r="BW5830">
            <v>65</v>
          </cell>
        </row>
        <row r="5831">
          <cell r="L5831" t="str">
            <v>WA2602ST07BL</v>
          </cell>
          <cell r="BW5831">
            <v>132</v>
          </cell>
        </row>
        <row r="5832">
          <cell r="L5832" t="str">
            <v>WA2602ST07BL</v>
          </cell>
          <cell r="BW5832">
            <v>126</v>
          </cell>
        </row>
        <row r="5833">
          <cell r="L5833" t="str">
            <v>WA2602ST07BL</v>
          </cell>
          <cell r="BW5833">
            <v>104</v>
          </cell>
        </row>
        <row r="5834">
          <cell r="L5834" t="str">
            <v>WA2602ST07BL</v>
          </cell>
          <cell r="BW5834">
            <v>58</v>
          </cell>
        </row>
        <row r="5835">
          <cell r="L5835" t="str">
            <v>WA2602ST07CM</v>
          </cell>
          <cell r="BW5835">
            <v>185</v>
          </cell>
        </row>
        <row r="5836">
          <cell r="L5836" t="str">
            <v>WA2602ST07CM</v>
          </cell>
          <cell r="BW5836">
            <v>186</v>
          </cell>
        </row>
        <row r="5837">
          <cell r="L5837" t="str">
            <v>WA2602ST07CM</v>
          </cell>
          <cell r="BW5837">
            <v>209</v>
          </cell>
        </row>
        <row r="5838">
          <cell r="L5838" t="str">
            <v>WA2602ST07CM</v>
          </cell>
          <cell r="BW5838">
            <v>65</v>
          </cell>
        </row>
        <row r="5839">
          <cell r="L5839" t="str">
            <v>WA2602ST07NA</v>
          </cell>
          <cell r="BW5839">
            <v>162</v>
          </cell>
        </row>
        <row r="5840">
          <cell r="L5840" t="str">
            <v>WA2602ST07NA</v>
          </cell>
          <cell r="BW5840">
            <v>157</v>
          </cell>
        </row>
        <row r="5841">
          <cell r="L5841" t="str">
            <v>WA2602ST07NA</v>
          </cell>
          <cell r="BW5841">
            <v>132</v>
          </cell>
        </row>
        <row r="5842">
          <cell r="L5842" t="str">
            <v>WA2602ST07NA</v>
          </cell>
          <cell r="BW5842">
            <v>84</v>
          </cell>
        </row>
        <row r="5843">
          <cell r="L5843" t="str">
            <v>WA2602ST08BK</v>
          </cell>
          <cell r="BW5843">
            <v>86</v>
          </cell>
        </row>
        <row r="5844">
          <cell r="L5844" t="str">
            <v>WA2602ST08BK</v>
          </cell>
          <cell r="BW5844">
            <v>65</v>
          </cell>
        </row>
        <row r="5845">
          <cell r="L5845" t="str">
            <v>WA2602ST08BR</v>
          </cell>
          <cell r="BW5845">
            <v>33</v>
          </cell>
        </row>
        <row r="5846">
          <cell r="L5846" t="str">
            <v>WA2602ST08BR</v>
          </cell>
          <cell r="BW5846">
            <v>34</v>
          </cell>
        </row>
        <row r="5847">
          <cell r="L5847" t="str">
            <v>WA2602ST08CM</v>
          </cell>
          <cell r="BW5847">
            <v>48</v>
          </cell>
        </row>
        <row r="5848">
          <cell r="L5848" t="str">
            <v>WA2602ST08CM</v>
          </cell>
          <cell r="BW5848">
            <v>42</v>
          </cell>
        </row>
        <row r="5849">
          <cell r="L5849" t="str">
            <v>WA2602ST09BL</v>
          </cell>
          <cell r="BW5849">
            <v>38</v>
          </cell>
        </row>
        <row r="5850">
          <cell r="L5850" t="str">
            <v>WA2602ST09BL</v>
          </cell>
          <cell r="BW5850">
            <v>29</v>
          </cell>
        </row>
        <row r="5851">
          <cell r="L5851" t="str">
            <v>WA2602ST09GR</v>
          </cell>
          <cell r="BW5851">
            <v>99</v>
          </cell>
        </row>
        <row r="5852">
          <cell r="L5852" t="str">
            <v>WA2602ST09GR</v>
          </cell>
          <cell r="BW5852">
            <v>74</v>
          </cell>
        </row>
        <row r="5853">
          <cell r="L5853" t="str">
            <v>WA2602ST11BK</v>
          </cell>
          <cell r="BW5853">
            <v>10</v>
          </cell>
        </row>
        <row r="5854">
          <cell r="L5854" t="str">
            <v>WA2602ST11BK</v>
          </cell>
          <cell r="BW5854">
            <v>45</v>
          </cell>
        </row>
        <row r="5855">
          <cell r="L5855" t="str">
            <v>WA2602ST11BK</v>
          </cell>
          <cell r="BW5855">
            <v>104</v>
          </cell>
        </row>
        <row r="5856">
          <cell r="L5856" t="str">
            <v>WA2602ST11BK</v>
          </cell>
          <cell r="BW5856">
            <v>-9</v>
          </cell>
        </row>
        <row r="5857">
          <cell r="L5857" t="str">
            <v>WA2602ST11LG</v>
          </cell>
          <cell r="BW5857">
            <v>-1</v>
          </cell>
        </row>
        <row r="5858">
          <cell r="L5858" t="str">
            <v>WA2602ST11LG</v>
          </cell>
          <cell r="BW5858">
            <v>-37</v>
          </cell>
        </row>
        <row r="5859">
          <cell r="L5859" t="str">
            <v>WA2602ST11LG</v>
          </cell>
          <cell r="BW5859">
            <v>-5</v>
          </cell>
        </row>
        <row r="5860">
          <cell r="L5860" t="str">
            <v>WA2602ST11LG</v>
          </cell>
          <cell r="BW5860">
            <v>-10</v>
          </cell>
        </row>
        <row r="5861">
          <cell r="L5861" t="str">
            <v>WA2602ST11WH</v>
          </cell>
          <cell r="BW5861">
            <v>-14</v>
          </cell>
        </row>
        <row r="5862">
          <cell r="L5862" t="str">
            <v>WA2602ST11WH</v>
          </cell>
          <cell r="BW5862">
            <v>-34</v>
          </cell>
        </row>
        <row r="5863">
          <cell r="L5863" t="str">
            <v>WA2602ST11WH</v>
          </cell>
          <cell r="BW5863">
            <v>-26</v>
          </cell>
        </row>
        <row r="5864">
          <cell r="L5864" t="str">
            <v>WA2602ST11WH</v>
          </cell>
          <cell r="BW5864">
            <v>-6</v>
          </cell>
        </row>
        <row r="5865">
          <cell r="L5865" t="str">
            <v>WA2602ST12BK</v>
          </cell>
          <cell r="BW5865">
            <v>59</v>
          </cell>
        </row>
        <row r="5866">
          <cell r="L5866" t="str">
            <v>WA2602ST12BK</v>
          </cell>
          <cell r="BW5866">
            <v>38</v>
          </cell>
        </row>
        <row r="5867">
          <cell r="L5867" t="str">
            <v>WA2602ST12BK</v>
          </cell>
          <cell r="BW5867">
            <v>101</v>
          </cell>
        </row>
        <row r="5868">
          <cell r="L5868" t="str">
            <v>WA2602ST12BK</v>
          </cell>
          <cell r="BW5868">
            <v>9</v>
          </cell>
        </row>
        <row r="5869">
          <cell r="L5869" t="str">
            <v>WA2602ST12CM</v>
          </cell>
          <cell r="BW5869">
            <v>22</v>
          </cell>
        </row>
        <row r="5870">
          <cell r="L5870" t="str">
            <v>WA2602ST12CM</v>
          </cell>
          <cell r="BW5870">
            <v>24</v>
          </cell>
        </row>
        <row r="5871">
          <cell r="L5871" t="str">
            <v>WA2602ST12CM</v>
          </cell>
          <cell r="BW5871">
            <v>34</v>
          </cell>
        </row>
        <row r="5872">
          <cell r="L5872" t="str">
            <v>WA2602ST12CM</v>
          </cell>
          <cell r="BW5872">
            <v>20</v>
          </cell>
        </row>
        <row r="5873">
          <cell r="L5873" t="str">
            <v>WA2602ST12GR</v>
          </cell>
          <cell r="BW5873">
            <v>141</v>
          </cell>
        </row>
        <row r="5874">
          <cell r="L5874" t="str">
            <v>WA2602ST12GR</v>
          </cell>
          <cell r="BW5874">
            <v>141</v>
          </cell>
        </row>
        <row r="5875">
          <cell r="L5875" t="str">
            <v>WA2602ST12GR</v>
          </cell>
          <cell r="BW5875">
            <v>162</v>
          </cell>
        </row>
        <row r="5876">
          <cell r="L5876" t="str">
            <v>WA2602ST12GR</v>
          </cell>
          <cell r="BW5876">
            <v>64</v>
          </cell>
        </row>
        <row r="5877">
          <cell r="L5877" t="str">
            <v>WA2602ST13TC</v>
          </cell>
          <cell r="BW5877">
            <v>114</v>
          </cell>
        </row>
        <row r="5878">
          <cell r="L5878" t="str">
            <v>WA2602ST13TC</v>
          </cell>
          <cell r="BW5878">
            <v>119</v>
          </cell>
        </row>
        <row r="5879">
          <cell r="L5879" t="str">
            <v>WA2602ST13TC</v>
          </cell>
          <cell r="BW5879">
            <v>133</v>
          </cell>
        </row>
        <row r="5880">
          <cell r="L5880" t="str">
            <v>WA2602ST13TC</v>
          </cell>
          <cell r="BW5880">
            <v>50</v>
          </cell>
        </row>
        <row r="5881">
          <cell r="L5881" t="str">
            <v>WA2602ST13WH</v>
          </cell>
          <cell r="BW5881">
            <v>190</v>
          </cell>
        </row>
        <row r="5882">
          <cell r="L5882" t="str">
            <v>WA2602ST13WH</v>
          </cell>
          <cell r="BW5882">
            <v>163</v>
          </cell>
        </row>
        <row r="5883">
          <cell r="L5883" t="str">
            <v>WA2602ST13WH</v>
          </cell>
          <cell r="BW5883">
            <v>238</v>
          </cell>
        </row>
        <row r="5884">
          <cell r="L5884" t="str">
            <v>WA2602ST13WH</v>
          </cell>
          <cell r="BW5884">
            <v>98</v>
          </cell>
        </row>
        <row r="5885">
          <cell r="L5885" t="str">
            <v>WA2602ST13YE</v>
          </cell>
          <cell r="BW5885">
            <v>86</v>
          </cell>
        </row>
        <row r="5886">
          <cell r="L5886" t="str">
            <v>WA2602ST13YE</v>
          </cell>
          <cell r="BW5886">
            <v>111</v>
          </cell>
        </row>
        <row r="5887">
          <cell r="L5887" t="str">
            <v>WA2602ST13YE</v>
          </cell>
          <cell r="BW5887">
            <v>144</v>
          </cell>
        </row>
        <row r="5888">
          <cell r="L5888" t="str">
            <v>WA2602ST13YE</v>
          </cell>
          <cell r="BW5888">
            <v>41</v>
          </cell>
        </row>
        <row r="5889">
          <cell r="L5889" t="str">
            <v>WA2602ST15NA</v>
          </cell>
          <cell r="BW5889">
            <v>32</v>
          </cell>
        </row>
        <row r="5890">
          <cell r="L5890" t="str">
            <v>WA2602ST15NA</v>
          </cell>
          <cell r="BW5890">
            <v>69</v>
          </cell>
        </row>
        <row r="5891">
          <cell r="L5891" t="str">
            <v>WA2602ST15NA</v>
          </cell>
          <cell r="BW5891">
            <v>148</v>
          </cell>
        </row>
        <row r="5892">
          <cell r="L5892" t="str">
            <v>WA2602ST15NA</v>
          </cell>
          <cell r="BW5892">
            <v>27</v>
          </cell>
        </row>
        <row r="5893">
          <cell r="L5893" t="str">
            <v>WA2602ST15WH</v>
          </cell>
          <cell r="BW5893">
            <v>117</v>
          </cell>
        </row>
        <row r="5894">
          <cell r="L5894" t="str">
            <v>WA2602ST15WH</v>
          </cell>
          <cell r="BW5894">
            <v>124</v>
          </cell>
        </row>
        <row r="5895">
          <cell r="L5895" t="str">
            <v>WA2602ST15WH</v>
          </cell>
          <cell r="BW5895">
            <v>139</v>
          </cell>
        </row>
        <row r="5896">
          <cell r="L5896" t="str">
            <v>WA2602ST15WH</v>
          </cell>
          <cell r="BW5896">
            <v>116</v>
          </cell>
        </row>
        <row r="5897">
          <cell r="L5897" t="str">
            <v>WA2602ST15YE</v>
          </cell>
          <cell r="BW5897">
            <v>69</v>
          </cell>
        </row>
        <row r="5898">
          <cell r="L5898" t="str">
            <v>WA2602ST15YE</v>
          </cell>
          <cell r="BW5898">
            <v>74</v>
          </cell>
        </row>
        <row r="5899">
          <cell r="L5899" t="str">
            <v>WA2602ST15YE</v>
          </cell>
          <cell r="BW5899">
            <v>86</v>
          </cell>
        </row>
        <row r="5900">
          <cell r="L5900" t="str">
            <v>WA2602ST15YE</v>
          </cell>
          <cell r="BW5900">
            <v>51</v>
          </cell>
        </row>
        <row r="5901">
          <cell r="L5901" t="str">
            <v>WA2602ST16BK</v>
          </cell>
          <cell r="BW5901">
            <v>-47</v>
          </cell>
        </row>
        <row r="5902">
          <cell r="L5902" t="str">
            <v>WA2602ST16BK</v>
          </cell>
          <cell r="BW5902">
            <v>-38</v>
          </cell>
        </row>
        <row r="5903">
          <cell r="L5903" t="str">
            <v>WA2602ST16BK</v>
          </cell>
          <cell r="BW5903">
            <v>2</v>
          </cell>
        </row>
        <row r="5904">
          <cell r="L5904" t="str">
            <v>WA2602ST16BK</v>
          </cell>
          <cell r="BW5904">
            <v>-9</v>
          </cell>
        </row>
        <row r="5905">
          <cell r="L5905" t="str">
            <v>WA2602ST16SB</v>
          </cell>
          <cell r="BW5905">
            <v>-18</v>
          </cell>
        </row>
        <row r="5906">
          <cell r="L5906" t="str">
            <v>WA2602ST16SB</v>
          </cell>
          <cell r="BW5906">
            <v>-27</v>
          </cell>
        </row>
        <row r="5907">
          <cell r="L5907" t="str">
            <v>WA2602ST16SB</v>
          </cell>
          <cell r="BW5907">
            <v>-11</v>
          </cell>
        </row>
        <row r="5908">
          <cell r="L5908" t="str">
            <v>WA2602ST16SB</v>
          </cell>
          <cell r="BW5908">
            <v>-11</v>
          </cell>
        </row>
        <row r="5909">
          <cell r="L5909" t="str">
            <v>WA2602ST16WH</v>
          </cell>
          <cell r="BW5909">
            <v>-24</v>
          </cell>
        </row>
        <row r="5910">
          <cell r="L5910" t="str">
            <v>WA2602ST16WH</v>
          </cell>
          <cell r="BW5910">
            <v>-66</v>
          </cell>
        </row>
        <row r="5911">
          <cell r="L5911" t="str">
            <v>WA2602ST16WH</v>
          </cell>
          <cell r="BW5911">
            <v>-60</v>
          </cell>
        </row>
        <row r="5912">
          <cell r="L5912" t="str">
            <v>WA2602ST16WH</v>
          </cell>
          <cell r="BW5912">
            <v>28</v>
          </cell>
        </row>
        <row r="5913">
          <cell r="L5913" t="str">
            <v>WA2602ST17BK</v>
          </cell>
          <cell r="BW5913">
            <v>102</v>
          </cell>
        </row>
        <row r="5914">
          <cell r="L5914" t="str">
            <v>WA2602ST17BK</v>
          </cell>
          <cell r="BW5914">
            <v>76</v>
          </cell>
        </row>
        <row r="5915">
          <cell r="L5915" t="str">
            <v>WA2602ST17BK</v>
          </cell>
          <cell r="BW5915">
            <v>123</v>
          </cell>
        </row>
        <row r="5916">
          <cell r="L5916" t="str">
            <v>WA2602ST17BK</v>
          </cell>
          <cell r="BW5916">
            <v>57</v>
          </cell>
        </row>
        <row r="5917">
          <cell r="L5917" t="str">
            <v>WA2602ST17WH</v>
          </cell>
          <cell r="BW5917">
            <v>183</v>
          </cell>
        </row>
        <row r="5918">
          <cell r="L5918" t="str">
            <v>WA2602ST17WH</v>
          </cell>
          <cell r="BW5918">
            <v>173</v>
          </cell>
        </row>
        <row r="5919">
          <cell r="L5919" t="str">
            <v>WA2602ST17WH</v>
          </cell>
          <cell r="BW5919">
            <v>245</v>
          </cell>
        </row>
        <row r="5920">
          <cell r="L5920" t="str">
            <v>WA2602ST17WH</v>
          </cell>
          <cell r="BW5920">
            <v>94</v>
          </cell>
        </row>
        <row r="5921">
          <cell r="L5921" t="str">
            <v>WA2602ST18BL</v>
          </cell>
          <cell r="BW5921">
            <v>58</v>
          </cell>
        </row>
        <row r="5922">
          <cell r="L5922" t="str">
            <v>WA2602ST18BL</v>
          </cell>
          <cell r="BW5922">
            <v>66</v>
          </cell>
        </row>
        <row r="5923">
          <cell r="L5923" t="str">
            <v>WA2602ST18BL</v>
          </cell>
          <cell r="BW5923">
            <v>81</v>
          </cell>
        </row>
        <row r="5924">
          <cell r="L5924" t="str">
            <v>WA2602ST18BL</v>
          </cell>
          <cell r="BW5924">
            <v>26</v>
          </cell>
        </row>
        <row r="5925">
          <cell r="L5925" t="str">
            <v>WA2602ST18WH</v>
          </cell>
          <cell r="BW5925">
            <v>16</v>
          </cell>
        </row>
        <row r="5926">
          <cell r="L5926" t="str">
            <v>WA2602ST18WH</v>
          </cell>
          <cell r="BW5926">
            <v>7</v>
          </cell>
        </row>
        <row r="5927">
          <cell r="L5927" t="str">
            <v>WA2602ST18WH</v>
          </cell>
          <cell r="BW5927">
            <v>32</v>
          </cell>
        </row>
        <row r="5928">
          <cell r="L5928" t="str">
            <v>WA2602ST18WH</v>
          </cell>
          <cell r="BW5928">
            <v>13</v>
          </cell>
        </row>
        <row r="5929">
          <cell r="L5929" t="str">
            <v>WA2602ST19CH</v>
          </cell>
          <cell r="BW5929">
            <v>100</v>
          </cell>
        </row>
        <row r="5930">
          <cell r="L5930" t="str">
            <v>WA2602ST19CH</v>
          </cell>
          <cell r="BW5930">
            <v>170</v>
          </cell>
        </row>
        <row r="5931">
          <cell r="L5931" t="str">
            <v>WA2602ST19CH</v>
          </cell>
          <cell r="BW5931">
            <v>267</v>
          </cell>
        </row>
        <row r="5932">
          <cell r="L5932" t="str">
            <v>WA2602ST19CH</v>
          </cell>
          <cell r="BW5932">
            <v>18</v>
          </cell>
        </row>
        <row r="5933">
          <cell r="L5933" t="str">
            <v>WA2602ST19WH</v>
          </cell>
          <cell r="BW5933">
            <v>10</v>
          </cell>
        </row>
        <row r="5934">
          <cell r="L5934" t="str">
            <v>WA2602ST19WH</v>
          </cell>
          <cell r="BW5934">
            <v>6</v>
          </cell>
        </row>
        <row r="5935">
          <cell r="L5935" t="str">
            <v>WA2602ST19WH</v>
          </cell>
          <cell r="BW5935">
            <v>59</v>
          </cell>
        </row>
        <row r="5936">
          <cell r="L5936" t="str">
            <v>WA2602ST19WH</v>
          </cell>
          <cell r="BW5936">
            <v>-31</v>
          </cell>
        </row>
        <row r="5937">
          <cell r="L5937" t="str">
            <v>WA2602ST21LG</v>
          </cell>
          <cell r="BW5937">
            <v>214</v>
          </cell>
        </row>
        <row r="5938">
          <cell r="L5938" t="str">
            <v>WA2602ST21LG</v>
          </cell>
          <cell r="BW5938">
            <v>202</v>
          </cell>
        </row>
        <row r="5939">
          <cell r="L5939" t="str">
            <v>WA2602ST21LG</v>
          </cell>
          <cell r="BW5939">
            <v>137</v>
          </cell>
        </row>
        <row r="5940">
          <cell r="L5940" t="str">
            <v>WA2602ST21LG</v>
          </cell>
          <cell r="BW5940">
            <v>119</v>
          </cell>
        </row>
        <row r="5941">
          <cell r="L5941" t="str">
            <v>WA2602ST22CM</v>
          </cell>
          <cell r="BW5941">
            <v>139</v>
          </cell>
        </row>
        <row r="5942">
          <cell r="L5942" t="str">
            <v>WA2602ST22CM</v>
          </cell>
          <cell r="BW5942">
            <v>154</v>
          </cell>
        </row>
        <row r="5943">
          <cell r="L5943" t="str">
            <v>WA2602ST22CM</v>
          </cell>
          <cell r="BW5943">
            <v>192</v>
          </cell>
        </row>
        <row r="5944">
          <cell r="L5944" t="str">
            <v>WA2602ST22CM</v>
          </cell>
          <cell r="BW5944">
            <v>69</v>
          </cell>
        </row>
        <row r="5945">
          <cell r="L5945" t="str">
            <v>WA2602ST23BR</v>
          </cell>
          <cell r="BW5945">
            <v>196</v>
          </cell>
        </row>
        <row r="5946">
          <cell r="L5946" t="str">
            <v>WA2602ST23BR</v>
          </cell>
          <cell r="BW5946">
            <v>225</v>
          </cell>
        </row>
        <row r="5947">
          <cell r="L5947" t="str">
            <v>WA2602ST23BR</v>
          </cell>
          <cell r="BW5947">
            <v>244</v>
          </cell>
        </row>
        <row r="5948">
          <cell r="L5948" t="str">
            <v>WA2602ST23BR</v>
          </cell>
          <cell r="BW5948">
            <v>100</v>
          </cell>
        </row>
        <row r="5949">
          <cell r="L5949" t="str">
            <v>WA2602ST23MI</v>
          </cell>
          <cell r="BW5949">
            <v>139</v>
          </cell>
        </row>
        <row r="5950">
          <cell r="L5950" t="str">
            <v>WA2602ST23MI</v>
          </cell>
          <cell r="BW5950">
            <v>160</v>
          </cell>
        </row>
        <row r="5951">
          <cell r="L5951" t="str">
            <v>WA2602ST23MI</v>
          </cell>
          <cell r="BW5951">
            <v>172</v>
          </cell>
        </row>
        <row r="5952">
          <cell r="L5952" t="str">
            <v>WA2602ST23MI</v>
          </cell>
          <cell r="BW5952">
            <v>66</v>
          </cell>
        </row>
        <row r="5953">
          <cell r="L5953" t="str">
            <v>WA2602ST23NA</v>
          </cell>
          <cell r="BW5953">
            <v>140</v>
          </cell>
        </row>
        <row r="5954">
          <cell r="L5954" t="str">
            <v>WA2602ST23NA</v>
          </cell>
          <cell r="BW5954">
            <v>147</v>
          </cell>
        </row>
        <row r="5955">
          <cell r="L5955" t="str">
            <v>WA2602ST23NA</v>
          </cell>
          <cell r="BW5955">
            <v>179</v>
          </cell>
        </row>
        <row r="5956">
          <cell r="L5956" t="str">
            <v>WA2602ST23NA</v>
          </cell>
          <cell r="BW5956">
            <v>63</v>
          </cell>
        </row>
        <row r="5957">
          <cell r="L5957" t="str">
            <v>WA2602ST24CM</v>
          </cell>
          <cell r="BW5957">
            <v>176</v>
          </cell>
        </row>
        <row r="5958">
          <cell r="L5958" t="str">
            <v>WA2602ST24CM</v>
          </cell>
          <cell r="BW5958">
            <v>212</v>
          </cell>
        </row>
        <row r="5959">
          <cell r="L5959" t="str">
            <v>WA2602ST24CM</v>
          </cell>
          <cell r="BW5959">
            <v>269</v>
          </cell>
        </row>
        <row r="5960">
          <cell r="L5960" t="str">
            <v>WA2602ST24CM</v>
          </cell>
          <cell r="BW5960">
            <v>92</v>
          </cell>
        </row>
        <row r="5961">
          <cell r="L5961" t="str">
            <v>WA2602ST24NA</v>
          </cell>
          <cell r="BW5961">
            <v>95</v>
          </cell>
        </row>
        <row r="5962">
          <cell r="L5962" t="str">
            <v>WA2602ST24NA</v>
          </cell>
          <cell r="BW5962">
            <v>95</v>
          </cell>
        </row>
        <row r="5963">
          <cell r="L5963" t="str">
            <v>WA2602ST24NA</v>
          </cell>
          <cell r="BW5963">
            <v>118</v>
          </cell>
        </row>
        <row r="5964">
          <cell r="L5964" t="str">
            <v>WA2602ST24NA</v>
          </cell>
          <cell r="BW5964">
            <v>58</v>
          </cell>
        </row>
        <row r="5965">
          <cell r="L5965" t="str">
            <v>WA2602ST25CH</v>
          </cell>
          <cell r="BW5965">
            <v>169</v>
          </cell>
        </row>
        <row r="5966">
          <cell r="L5966" t="str">
            <v>WA2602ST25CH</v>
          </cell>
          <cell r="BW5966">
            <v>194</v>
          </cell>
        </row>
        <row r="5967">
          <cell r="L5967" t="str">
            <v>WA2602ST25CH</v>
          </cell>
          <cell r="BW5967">
            <v>152</v>
          </cell>
        </row>
        <row r="5968">
          <cell r="L5968" t="str">
            <v>WA2602ST25CH</v>
          </cell>
          <cell r="BW5968">
            <v>128</v>
          </cell>
        </row>
        <row r="5969">
          <cell r="L5969" t="str">
            <v>WA2602ST25CM</v>
          </cell>
          <cell r="BW5969">
            <v>172</v>
          </cell>
        </row>
        <row r="5970">
          <cell r="L5970" t="str">
            <v>WA2602ST25CM</v>
          </cell>
          <cell r="BW5970">
            <v>172</v>
          </cell>
        </row>
        <row r="5971">
          <cell r="L5971" t="str">
            <v>WA2602ST25CM</v>
          </cell>
          <cell r="BW5971">
            <v>166</v>
          </cell>
        </row>
        <row r="5972">
          <cell r="L5972" t="str">
            <v>WA2602ST25CM</v>
          </cell>
          <cell r="BW5972">
            <v>149</v>
          </cell>
        </row>
        <row r="5973">
          <cell r="L5973" t="str">
            <v>WA2602ST26CM</v>
          </cell>
          <cell r="BW5973">
            <v>113</v>
          </cell>
        </row>
        <row r="5974">
          <cell r="L5974" t="str">
            <v>WA2602ST26CM</v>
          </cell>
          <cell r="BW5974">
            <v>137</v>
          </cell>
        </row>
        <row r="5975">
          <cell r="L5975" t="str">
            <v>WA2602ST26CM</v>
          </cell>
          <cell r="BW5975">
            <v>119</v>
          </cell>
        </row>
        <row r="5976">
          <cell r="L5976" t="str">
            <v>WA2602ST26CM</v>
          </cell>
          <cell r="BW5976">
            <v>67</v>
          </cell>
        </row>
        <row r="5977">
          <cell r="L5977" t="str">
            <v>WA2602ST27CH</v>
          </cell>
          <cell r="BW5977">
            <v>96</v>
          </cell>
        </row>
        <row r="5978">
          <cell r="L5978" t="str">
            <v>WA2602ST27CH</v>
          </cell>
          <cell r="BW5978">
            <v>162</v>
          </cell>
        </row>
        <row r="5979">
          <cell r="L5979" t="str">
            <v>WA2602ST27CH</v>
          </cell>
          <cell r="BW5979">
            <v>252</v>
          </cell>
        </row>
        <row r="5980">
          <cell r="L5980" t="str">
            <v>WA2602ST27CH</v>
          </cell>
          <cell r="BW5980">
            <v>56</v>
          </cell>
        </row>
        <row r="5981">
          <cell r="L5981" t="str">
            <v>WA2602ST27EC</v>
          </cell>
          <cell r="BW5981">
            <v>95</v>
          </cell>
        </row>
        <row r="5982">
          <cell r="L5982" t="str">
            <v>WA2602ST27EC</v>
          </cell>
          <cell r="BW5982">
            <v>131</v>
          </cell>
        </row>
        <row r="5983">
          <cell r="L5983" t="str">
            <v>WA2602ST27EC</v>
          </cell>
          <cell r="BW5983">
            <v>185</v>
          </cell>
        </row>
        <row r="5984">
          <cell r="L5984" t="str">
            <v>WA2602ST27EC</v>
          </cell>
          <cell r="BW5984">
            <v>38</v>
          </cell>
        </row>
        <row r="5985">
          <cell r="L5985" t="str">
            <v>WA2602ST27PI</v>
          </cell>
          <cell r="BW5985">
            <v>20</v>
          </cell>
        </row>
        <row r="5986">
          <cell r="L5986" t="str">
            <v>WA2602ST27PI</v>
          </cell>
          <cell r="BW5986">
            <v>21</v>
          </cell>
        </row>
        <row r="5987">
          <cell r="L5987" t="str">
            <v>WA2602ST27PI</v>
          </cell>
          <cell r="BW5987">
            <v>17</v>
          </cell>
        </row>
        <row r="5988">
          <cell r="L5988" t="str">
            <v>WA2602ST27PI</v>
          </cell>
          <cell r="BW5988">
            <v>20</v>
          </cell>
        </row>
        <row r="5989">
          <cell r="L5989" t="str">
            <v>WA2602ST29BE</v>
          </cell>
          <cell r="BW5989">
            <v>205</v>
          </cell>
        </row>
        <row r="5990">
          <cell r="L5990" t="str">
            <v>WA2602ST29BE</v>
          </cell>
          <cell r="BW5990">
            <v>200</v>
          </cell>
        </row>
        <row r="5991">
          <cell r="L5991" t="str">
            <v>WA2602ST29BE</v>
          </cell>
          <cell r="BW5991">
            <v>298</v>
          </cell>
        </row>
        <row r="5992">
          <cell r="L5992" t="str">
            <v>WA2602ST29BE</v>
          </cell>
          <cell r="BW5992">
            <v>131</v>
          </cell>
        </row>
        <row r="5993">
          <cell r="L5993" t="str">
            <v>WA2602ST29KH</v>
          </cell>
          <cell r="BW5993">
            <v>230</v>
          </cell>
        </row>
        <row r="5994">
          <cell r="L5994" t="str">
            <v>WA2602ST29KH</v>
          </cell>
          <cell r="BW5994">
            <v>274</v>
          </cell>
        </row>
        <row r="5995">
          <cell r="L5995" t="str">
            <v>WA2602ST29KH</v>
          </cell>
          <cell r="BW5995">
            <v>278</v>
          </cell>
        </row>
        <row r="5996">
          <cell r="L5996" t="str">
            <v>WA2602ST29KH</v>
          </cell>
          <cell r="BW5996">
            <v>138</v>
          </cell>
        </row>
        <row r="5997">
          <cell r="L5997" t="str">
            <v>WA2602ST30BK</v>
          </cell>
          <cell r="BW5997">
            <v>53</v>
          </cell>
        </row>
        <row r="5998">
          <cell r="L5998" t="str">
            <v>WA2602ST30BK</v>
          </cell>
          <cell r="BW5998">
            <v>69</v>
          </cell>
        </row>
        <row r="5999">
          <cell r="L5999" t="str">
            <v>WA2602ST30BK</v>
          </cell>
          <cell r="BW5999">
            <v>42</v>
          </cell>
        </row>
        <row r="6000">
          <cell r="L6000" t="str">
            <v>WA2602ST30BK</v>
          </cell>
          <cell r="BW6000">
            <v>8</v>
          </cell>
        </row>
        <row r="6001">
          <cell r="L6001" t="str">
            <v>WA2602ST30IN</v>
          </cell>
          <cell r="BW6001">
            <v>55</v>
          </cell>
        </row>
        <row r="6002">
          <cell r="L6002" t="str">
            <v>WA2602ST30IN</v>
          </cell>
          <cell r="BW6002">
            <v>66</v>
          </cell>
        </row>
        <row r="6003">
          <cell r="L6003" t="str">
            <v>WA2602ST30IN</v>
          </cell>
          <cell r="BW6003">
            <v>35</v>
          </cell>
        </row>
        <row r="6004">
          <cell r="L6004" t="str">
            <v>WA2602ST30IN</v>
          </cell>
          <cell r="BW6004">
            <v>21</v>
          </cell>
        </row>
        <row r="6005">
          <cell r="L6005" t="str">
            <v>WA2602ST31CH</v>
          </cell>
          <cell r="BW6005">
            <v>337</v>
          </cell>
        </row>
        <row r="6006">
          <cell r="L6006" t="str">
            <v>WA2602ST31CH</v>
          </cell>
          <cell r="BW6006">
            <v>373</v>
          </cell>
        </row>
        <row r="6007">
          <cell r="L6007" t="str">
            <v>WA2602ST31CH</v>
          </cell>
          <cell r="BW6007">
            <v>390</v>
          </cell>
        </row>
        <row r="6008">
          <cell r="L6008" t="str">
            <v>WA2602ST31CH</v>
          </cell>
          <cell r="BW6008">
            <v>272</v>
          </cell>
        </row>
        <row r="6009">
          <cell r="L6009" t="str">
            <v>WA2602ST31WH</v>
          </cell>
          <cell r="BW6009">
            <v>336</v>
          </cell>
        </row>
        <row r="6010">
          <cell r="L6010" t="str">
            <v>WA2602ST31WH</v>
          </cell>
          <cell r="BW6010">
            <v>424</v>
          </cell>
        </row>
        <row r="6011">
          <cell r="L6011" t="str">
            <v>WA2602ST31WH</v>
          </cell>
          <cell r="BW6011">
            <v>497</v>
          </cell>
        </row>
        <row r="6012">
          <cell r="L6012" t="str">
            <v>WA2602ST31WH</v>
          </cell>
          <cell r="BW6012">
            <v>206</v>
          </cell>
        </row>
        <row r="6013">
          <cell r="L6013" t="str">
            <v>WA2602ST31YE</v>
          </cell>
          <cell r="BW6013">
            <v>106</v>
          </cell>
        </row>
        <row r="6014">
          <cell r="L6014" t="str">
            <v>WA2602ST31YE</v>
          </cell>
          <cell r="BW6014">
            <v>121</v>
          </cell>
        </row>
        <row r="6015">
          <cell r="L6015" t="str">
            <v>WA2602ST31YE</v>
          </cell>
          <cell r="BW6015">
            <v>127</v>
          </cell>
        </row>
        <row r="6016">
          <cell r="L6016" t="str">
            <v>WA2602ST31YE</v>
          </cell>
          <cell r="BW6016">
            <v>54</v>
          </cell>
        </row>
        <row r="6017">
          <cell r="L6017" t="str">
            <v>WA2602ST32BK</v>
          </cell>
          <cell r="BW6017">
            <v>247</v>
          </cell>
        </row>
        <row r="6018">
          <cell r="L6018" t="str">
            <v>WA2602ST32BK</v>
          </cell>
          <cell r="BW6018">
            <v>236</v>
          </cell>
        </row>
        <row r="6019">
          <cell r="L6019" t="str">
            <v>WA2602ST32BK</v>
          </cell>
          <cell r="BW6019">
            <v>274</v>
          </cell>
        </row>
        <row r="6020">
          <cell r="L6020" t="str">
            <v>WA2602ST32BK</v>
          </cell>
          <cell r="BW6020">
            <v>146</v>
          </cell>
        </row>
        <row r="6021">
          <cell r="L6021" t="str">
            <v>WA2602ST32LI</v>
          </cell>
          <cell r="BW6021">
            <v>125</v>
          </cell>
        </row>
        <row r="6022">
          <cell r="L6022" t="str">
            <v>WA2602ST32LI</v>
          </cell>
          <cell r="BW6022">
            <v>159</v>
          </cell>
        </row>
        <row r="6023">
          <cell r="L6023" t="str">
            <v>WA2602ST32LI</v>
          </cell>
          <cell r="BW6023">
            <v>169</v>
          </cell>
        </row>
        <row r="6024">
          <cell r="L6024" t="str">
            <v>WA2602ST32LI</v>
          </cell>
          <cell r="BW6024">
            <v>71</v>
          </cell>
        </row>
        <row r="6025">
          <cell r="L6025" t="str">
            <v>WA2602ST32PI</v>
          </cell>
          <cell r="BW6025">
            <v>24</v>
          </cell>
        </row>
        <row r="6026">
          <cell r="L6026" t="str">
            <v>WA2602ST32PI</v>
          </cell>
          <cell r="BW6026">
            <v>21</v>
          </cell>
        </row>
        <row r="6027">
          <cell r="L6027" t="str">
            <v>WA2602ST32PI</v>
          </cell>
          <cell r="BW6027">
            <v>46</v>
          </cell>
        </row>
        <row r="6028">
          <cell r="L6028" t="str">
            <v>WA2602ST32PI</v>
          </cell>
          <cell r="BW6028">
            <v>21</v>
          </cell>
        </row>
        <row r="6029">
          <cell r="L6029" t="str">
            <v>WA2602ST32WH</v>
          </cell>
          <cell r="BW6029">
            <v>263</v>
          </cell>
        </row>
        <row r="6030">
          <cell r="L6030" t="str">
            <v>WA2602ST32WH</v>
          </cell>
          <cell r="BW6030">
            <v>237</v>
          </cell>
        </row>
        <row r="6031">
          <cell r="L6031" t="str">
            <v>WA2602ST32WH</v>
          </cell>
          <cell r="BW6031">
            <v>337</v>
          </cell>
        </row>
        <row r="6032">
          <cell r="L6032" t="str">
            <v>WA2602ST32WH</v>
          </cell>
          <cell r="BW6032">
            <v>167</v>
          </cell>
        </row>
        <row r="6033">
          <cell r="L6033" t="str">
            <v>WA2602ST33BK</v>
          </cell>
          <cell r="BW6033">
            <v>144</v>
          </cell>
        </row>
        <row r="6034">
          <cell r="L6034" t="str">
            <v>WA2602ST33BK</v>
          </cell>
          <cell r="BW6034">
            <v>123</v>
          </cell>
        </row>
        <row r="6035">
          <cell r="L6035" t="str">
            <v>WA2602ST33BK</v>
          </cell>
          <cell r="BW6035">
            <v>141</v>
          </cell>
        </row>
        <row r="6036">
          <cell r="L6036" t="str">
            <v>WA2602ST33BK</v>
          </cell>
          <cell r="BW6036">
            <v>75</v>
          </cell>
        </row>
        <row r="6037">
          <cell r="L6037" t="str">
            <v>WA2602ST33BL</v>
          </cell>
          <cell r="BW6037">
            <v>117</v>
          </cell>
        </row>
        <row r="6038">
          <cell r="L6038" t="str">
            <v>WA2602ST33BL</v>
          </cell>
          <cell r="BW6038">
            <v>114</v>
          </cell>
        </row>
        <row r="6039">
          <cell r="L6039" t="str">
            <v>WA2602ST33BL</v>
          </cell>
          <cell r="BW6039">
            <v>123</v>
          </cell>
        </row>
        <row r="6040">
          <cell r="L6040" t="str">
            <v>WA2602ST33BL</v>
          </cell>
          <cell r="BW6040">
            <v>73</v>
          </cell>
        </row>
        <row r="6041">
          <cell r="L6041" t="str">
            <v>WA2602ST33WH</v>
          </cell>
          <cell r="BW6041">
            <v>174</v>
          </cell>
        </row>
        <row r="6042">
          <cell r="L6042" t="str">
            <v>WA2602ST33WH</v>
          </cell>
          <cell r="BW6042">
            <v>158</v>
          </cell>
        </row>
        <row r="6043">
          <cell r="L6043" t="str">
            <v>WA2602ST33WH</v>
          </cell>
          <cell r="BW6043">
            <v>199</v>
          </cell>
        </row>
        <row r="6044">
          <cell r="L6044" t="str">
            <v>WA2602ST33WH</v>
          </cell>
          <cell r="BW6044">
            <v>90</v>
          </cell>
        </row>
        <row r="6045">
          <cell r="L6045" t="str">
            <v>WA2602ST34GN</v>
          </cell>
          <cell r="BW6045">
            <v>143</v>
          </cell>
        </row>
        <row r="6046">
          <cell r="L6046" t="str">
            <v>WA2602ST34GN</v>
          </cell>
          <cell r="BW6046">
            <v>153</v>
          </cell>
        </row>
        <row r="6047">
          <cell r="L6047" t="str">
            <v>WA2602ST34GN</v>
          </cell>
          <cell r="BW6047">
            <v>175</v>
          </cell>
        </row>
        <row r="6048">
          <cell r="L6048" t="str">
            <v>WA2602ST34GN</v>
          </cell>
          <cell r="BW6048">
            <v>99</v>
          </cell>
        </row>
        <row r="6049">
          <cell r="L6049" t="str">
            <v>WA2602ST34WH</v>
          </cell>
          <cell r="BW6049">
            <v>257</v>
          </cell>
        </row>
        <row r="6050">
          <cell r="L6050" t="str">
            <v>WA2602ST34WH</v>
          </cell>
          <cell r="BW6050">
            <v>307</v>
          </cell>
        </row>
        <row r="6051">
          <cell r="L6051" t="str">
            <v>WA2602ST34WH</v>
          </cell>
          <cell r="BW6051">
            <v>367</v>
          </cell>
        </row>
        <row r="6052">
          <cell r="L6052" t="str">
            <v>WA2602ST34WH</v>
          </cell>
          <cell r="BW6052">
            <v>150</v>
          </cell>
        </row>
        <row r="6053">
          <cell r="L6053" t="str">
            <v>WA2602ST35BK</v>
          </cell>
          <cell r="BW6053">
            <v>251</v>
          </cell>
        </row>
        <row r="6054">
          <cell r="L6054" t="str">
            <v>WA2602ST35BK</v>
          </cell>
          <cell r="BW6054">
            <v>280</v>
          </cell>
        </row>
        <row r="6055">
          <cell r="L6055" t="str">
            <v>WA2602ST35BK</v>
          </cell>
          <cell r="BW6055">
            <v>166</v>
          </cell>
        </row>
        <row r="6056">
          <cell r="L6056" t="str">
            <v>WA2602ST35BK</v>
          </cell>
          <cell r="BW6056">
            <v>189</v>
          </cell>
        </row>
        <row r="6057">
          <cell r="L6057" t="str">
            <v>WA2602ST35WH</v>
          </cell>
          <cell r="BW6057">
            <v>103</v>
          </cell>
        </row>
        <row r="6058">
          <cell r="L6058" t="str">
            <v>WA2602ST35WH</v>
          </cell>
          <cell r="BW6058">
            <v>147</v>
          </cell>
        </row>
        <row r="6059">
          <cell r="L6059" t="str">
            <v>WA2602ST35WH</v>
          </cell>
          <cell r="BW6059">
            <v>90</v>
          </cell>
        </row>
        <row r="6060">
          <cell r="L6060" t="str">
            <v>WA2602ST35WH</v>
          </cell>
          <cell r="BW6060">
            <v>83</v>
          </cell>
        </row>
        <row r="6061">
          <cell r="L6061" t="str">
            <v>WA2602ST36BL</v>
          </cell>
          <cell r="BW6061">
            <v>75</v>
          </cell>
        </row>
        <row r="6062">
          <cell r="L6062" t="str">
            <v>WA2602ST36BL</v>
          </cell>
          <cell r="BW6062">
            <v>75</v>
          </cell>
        </row>
        <row r="6063">
          <cell r="L6063" t="str">
            <v>WA2602ST36BL</v>
          </cell>
          <cell r="BW6063">
            <v>55</v>
          </cell>
        </row>
        <row r="6064">
          <cell r="L6064" t="str">
            <v>WA2602ST36BL</v>
          </cell>
          <cell r="BW6064">
            <v>50</v>
          </cell>
        </row>
        <row r="6065">
          <cell r="L6065" t="str">
            <v>WA2602ST36WH</v>
          </cell>
          <cell r="BW6065">
            <v>163</v>
          </cell>
        </row>
        <row r="6066">
          <cell r="L6066" t="str">
            <v>WA2602ST36WH</v>
          </cell>
          <cell r="BW6066">
            <v>210</v>
          </cell>
        </row>
        <row r="6067">
          <cell r="L6067" t="str">
            <v>WA2602ST36WH</v>
          </cell>
          <cell r="BW6067">
            <v>131</v>
          </cell>
        </row>
        <row r="6068">
          <cell r="L6068" t="str">
            <v>WA2602ST36WH</v>
          </cell>
          <cell r="BW6068">
            <v>91</v>
          </cell>
        </row>
        <row r="6069">
          <cell r="L6069" t="str">
            <v>WA2602ST37WH</v>
          </cell>
          <cell r="BW6069">
            <v>138</v>
          </cell>
        </row>
        <row r="6070">
          <cell r="L6070" t="str">
            <v>WA2602ST37WH</v>
          </cell>
          <cell r="BW6070">
            <v>137</v>
          </cell>
        </row>
        <row r="6071">
          <cell r="L6071" t="str">
            <v>WA2602ST37WH</v>
          </cell>
          <cell r="BW6071">
            <v>97</v>
          </cell>
        </row>
        <row r="6072">
          <cell r="L6072" t="str">
            <v>WA2602ST37WH</v>
          </cell>
          <cell r="BW6072">
            <v>111</v>
          </cell>
        </row>
        <row r="6073">
          <cell r="L6073" t="str">
            <v>WA2602ST41CH</v>
          </cell>
          <cell r="BW6073">
            <v>107</v>
          </cell>
        </row>
        <row r="6074">
          <cell r="L6074" t="str">
            <v>WA2602ST41CH</v>
          </cell>
          <cell r="BW6074">
            <v>232</v>
          </cell>
        </row>
        <row r="6075">
          <cell r="L6075" t="str">
            <v>WA2602ST41CH</v>
          </cell>
          <cell r="BW6075">
            <v>151</v>
          </cell>
        </row>
        <row r="6076">
          <cell r="L6076" t="str">
            <v>WA2602ST41CH</v>
          </cell>
          <cell r="BW6076">
            <v>51</v>
          </cell>
        </row>
        <row r="6077">
          <cell r="L6077" t="str">
            <v>WA2602ST41PI</v>
          </cell>
          <cell r="BW6077">
            <v>80</v>
          </cell>
        </row>
        <row r="6078">
          <cell r="L6078" t="str">
            <v>WA2602ST41PI</v>
          </cell>
          <cell r="BW6078">
            <v>155</v>
          </cell>
        </row>
        <row r="6079">
          <cell r="L6079" t="str">
            <v>WA2602ST41PI</v>
          </cell>
          <cell r="BW6079">
            <v>109</v>
          </cell>
        </row>
        <row r="6080">
          <cell r="L6080" t="str">
            <v>WA2602ST41PI</v>
          </cell>
          <cell r="BW6080">
            <v>38</v>
          </cell>
        </row>
        <row r="6081">
          <cell r="L6081" t="str">
            <v>WA2602ST42BK</v>
          </cell>
          <cell r="BW6081">
            <v>0</v>
          </cell>
        </row>
        <row r="6082">
          <cell r="L6082" t="str">
            <v>WA2602ST42BK</v>
          </cell>
          <cell r="BW6082">
            <v>0</v>
          </cell>
        </row>
        <row r="6083">
          <cell r="L6083" t="str">
            <v>WA2602ST42BK</v>
          </cell>
          <cell r="BW6083">
            <v>0</v>
          </cell>
        </row>
        <row r="6084">
          <cell r="L6084" t="str">
            <v>WA2602ST42BK</v>
          </cell>
          <cell r="BW6084">
            <v>0</v>
          </cell>
        </row>
        <row r="6085">
          <cell r="L6085" t="str">
            <v>WA2602ST42WH</v>
          </cell>
          <cell r="BW6085">
            <v>0</v>
          </cell>
        </row>
        <row r="6086">
          <cell r="L6086" t="str">
            <v>WA2602ST42WH</v>
          </cell>
          <cell r="BW6086">
            <v>0</v>
          </cell>
        </row>
        <row r="6087">
          <cell r="L6087" t="str">
            <v>WA2602ST42WH</v>
          </cell>
          <cell r="BW6087">
            <v>0</v>
          </cell>
        </row>
        <row r="6088">
          <cell r="L6088" t="str">
            <v>WA2602ST42WH</v>
          </cell>
          <cell r="BW6088">
            <v>0</v>
          </cell>
        </row>
        <row r="6089">
          <cell r="L6089" t="str">
            <v>WA2602ST43BL</v>
          </cell>
          <cell r="BW6089">
            <v>0</v>
          </cell>
        </row>
        <row r="6090">
          <cell r="L6090" t="str">
            <v>WA2602ST43BL</v>
          </cell>
          <cell r="BW6090">
            <v>0</v>
          </cell>
        </row>
        <row r="6091">
          <cell r="L6091" t="str">
            <v>WA2602ST43BL</v>
          </cell>
          <cell r="BW6091">
            <v>0</v>
          </cell>
        </row>
        <row r="6092">
          <cell r="L6092" t="str">
            <v>WA2602ST43BL</v>
          </cell>
          <cell r="BW6092">
            <v>0</v>
          </cell>
        </row>
        <row r="6093">
          <cell r="L6093" t="str">
            <v>WA2602ST43WH</v>
          </cell>
          <cell r="BW6093">
            <v>0</v>
          </cell>
        </row>
        <row r="6094">
          <cell r="L6094" t="str">
            <v>WA2602ST43WH</v>
          </cell>
          <cell r="BW6094">
            <v>0</v>
          </cell>
        </row>
        <row r="6095">
          <cell r="L6095" t="str">
            <v>WA2602ST43WH</v>
          </cell>
          <cell r="BW6095">
            <v>0</v>
          </cell>
        </row>
        <row r="6096">
          <cell r="L6096" t="str">
            <v>WA2602ST43WH</v>
          </cell>
          <cell r="BW6096">
            <v>0</v>
          </cell>
        </row>
        <row r="6097">
          <cell r="L6097" t="str">
            <v>WA2602ST44GN</v>
          </cell>
          <cell r="BW6097">
            <v>0</v>
          </cell>
        </row>
        <row r="6098">
          <cell r="L6098" t="str">
            <v>WA2602ST44GN</v>
          </cell>
          <cell r="BW6098">
            <v>0</v>
          </cell>
        </row>
        <row r="6099">
          <cell r="L6099" t="str">
            <v>WA2602ST44GN</v>
          </cell>
          <cell r="BW6099">
            <v>0</v>
          </cell>
        </row>
        <row r="6100">
          <cell r="L6100" t="str">
            <v>WA2602ST44GN</v>
          </cell>
          <cell r="BW6100">
            <v>0</v>
          </cell>
        </row>
        <row r="6101">
          <cell r="L6101" t="str">
            <v>WA2602ST44PI</v>
          </cell>
          <cell r="BW6101">
            <v>0</v>
          </cell>
        </row>
        <row r="6102">
          <cell r="L6102" t="str">
            <v>WA2602ST44PI</v>
          </cell>
          <cell r="BW6102">
            <v>0</v>
          </cell>
        </row>
        <row r="6103">
          <cell r="L6103" t="str">
            <v>WA2602ST44PI</v>
          </cell>
          <cell r="BW6103">
            <v>0</v>
          </cell>
        </row>
        <row r="6104">
          <cell r="L6104" t="str">
            <v>WA2602ST44PI</v>
          </cell>
          <cell r="BW6104">
            <v>0</v>
          </cell>
        </row>
        <row r="6105">
          <cell r="L6105" t="str">
            <v>WA2602ST45CH</v>
          </cell>
          <cell r="BW6105">
            <v>0</v>
          </cell>
        </row>
        <row r="6106">
          <cell r="L6106" t="str">
            <v>WA2602ST45CH</v>
          </cell>
          <cell r="BW6106">
            <v>0</v>
          </cell>
        </row>
        <row r="6107">
          <cell r="L6107" t="str">
            <v>WA2602ST45CH</v>
          </cell>
          <cell r="BW6107">
            <v>0</v>
          </cell>
        </row>
        <row r="6108">
          <cell r="L6108" t="str">
            <v>WA2602ST45CH</v>
          </cell>
          <cell r="BW6108">
            <v>0</v>
          </cell>
        </row>
        <row r="6109">
          <cell r="L6109" t="str">
            <v>WA2602ST45PU</v>
          </cell>
          <cell r="BW6109">
            <v>0</v>
          </cell>
        </row>
        <row r="6110">
          <cell r="L6110" t="str">
            <v>WA2602ST45PU</v>
          </cell>
          <cell r="BW6110">
            <v>0</v>
          </cell>
        </row>
        <row r="6111">
          <cell r="L6111" t="str">
            <v>WA2602ST45PU</v>
          </cell>
          <cell r="BW6111">
            <v>0</v>
          </cell>
        </row>
        <row r="6112">
          <cell r="L6112" t="str">
            <v>WA2602ST45PU</v>
          </cell>
          <cell r="BW6112">
            <v>0</v>
          </cell>
        </row>
        <row r="6113">
          <cell r="L6113" t="str">
            <v>WA2602ST46WH</v>
          </cell>
          <cell r="BW6113">
            <v>0</v>
          </cell>
        </row>
        <row r="6114">
          <cell r="L6114" t="str">
            <v>WA2602ST46WH</v>
          </cell>
          <cell r="BW6114">
            <v>0</v>
          </cell>
        </row>
        <row r="6115">
          <cell r="L6115" t="str">
            <v>WA2602ST46WH</v>
          </cell>
          <cell r="BW6115">
            <v>0</v>
          </cell>
        </row>
        <row r="6116">
          <cell r="L6116" t="str">
            <v>WA2602ST46WH</v>
          </cell>
          <cell r="BW6116">
            <v>0</v>
          </cell>
        </row>
        <row r="6117">
          <cell r="L6117" t="str">
            <v>WA2602ST51BK</v>
          </cell>
          <cell r="BW6117">
            <v>176</v>
          </cell>
        </row>
        <row r="6118">
          <cell r="L6118" t="str">
            <v>WA2602ST51BK</v>
          </cell>
          <cell r="BW6118">
            <v>360</v>
          </cell>
        </row>
        <row r="6119">
          <cell r="L6119" t="str">
            <v>WA2602ST51BK</v>
          </cell>
          <cell r="BW6119">
            <v>454</v>
          </cell>
        </row>
        <row r="6120">
          <cell r="L6120" t="str">
            <v>WA2602ST51LG</v>
          </cell>
          <cell r="BW6120">
            <v>306</v>
          </cell>
        </row>
        <row r="6121">
          <cell r="L6121" t="str">
            <v>WA2602ST51LG</v>
          </cell>
          <cell r="BW6121">
            <v>553</v>
          </cell>
        </row>
        <row r="6122">
          <cell r="L6122" t="str">
            <v>WA2602ST51LG</v>
          </cell>
          <cell r="BW6122">
            <v>531</v>
          </cell>
        </row>
        <row r="6123">
          <cell r="L6123" t="str">
            <v>WA2602ST51LY</v>
          </cell>
          <cell r="BW6123">
            <v>69</v>
          </cell>
        </row>
        <row r="6124">
          <cell r="L6124" t="str">
            <v>WA2602ST51LY</v>
          </cell>
          <cell r="BW6124">
            <v>122</v>
          </cell>
        </row>
        <row r="6125">
          <cell r="L6125" t="str">
            <v>WA2602ST51LY</v>
          </cell>
          <cell r="BW6125">
            <v>172</v>
          </cell>
        </row>
        <row r="6126">
          <cell r="L6126" t="str">
            <v>WA2602ST51SB</v>
          </cell>
          <cell r="BW6126">
            <v>52</v>
          </cell>
        </row>
        <row r="6127">
          <cell r="L6127" t="str">
            <v>WA2602ST51SB</v>
          </cell>
          <cell r="BW6127">
            <v>101</v>
          </cell>
        </row>
        <row r="6128">
          <cell r="L6128" t="str">
            <v>WA2602ST51SB</v>
          </cell>
          <cell r="BW6128">
            <v>137</v>
          </cell>
        </row>
        <row r="6129">
          <cell r="L6129" t="str">
            <v>WA2602ST51TC</v>
          </cell>
          <cell r="BW6129">
            <v>69</v>
          </cell>
        </row>
        <row r="6130">
          <cell r="L6130" t="str">
            <v>WA2602ST51TC</v>
          </cell>
          <cell r="BW6130">
            <v>112</v>
          </cell>
        </row>
        <row r="6131">
          <cell r="L6131" t="str">
            <v>WA2602ST51WH</v>
          </cell>
          <cell r="BW6131">
            <v>560</v>
          </cell>
        </row>
        <row r="6132">
          <cell r="L6132" t="str">
            <v>WA2602ST51WH</v>
          </cell>
          <cell r="BW6132">
            <v>915</v>
          </cell>
        </row>
        <row r="6133">
          <cell r="L6133" t="str">
            <v>WA2602ST51WH</v>
          </cell>
          <cell r="BW6133">
            <v>1015</v>
          </cell>
        </row>
        <row r="6134">
          <cell r="L6134" t="str">
            <v>WA2602ST52BK</v>
          </cell>
          <cell r="BW6134">
            <v>164</v>
          </cell>
        </row>
        <row r="6135">
          <cell r="L6135" t="str">
            <v>WA2602ST52BK</v>
          </cell>
          <cell r="BW6135">
            <v>227</v>
          </cell>
        </row>
        <row r="6136">
          <cell r="L6136" t="str">
            <v>WA2602ST52BK</v>
          </cell>
          <cell r="BW6136">
            <v>264</v>
          </cell>
        </row>
        <row r="6137">
          <cell r="L6137" t="str">
            <v>WA2602ST52LI</v>
          </cell>
          <cell r="BW6137">
            <v>111</v>
          </cell>
        </row>
        <row r="6138">
          <cell r="L6138" t="str">
            <v>WA2602ST52LI</v>
          </cell>
          <cell r="BW6138">
            <v>159</v>
          </cell>
        </row>
        <row r="6139">
          <cell r="L6139" t="str">
            <v>WA2602ST52LI</v>
          </cell>
          <cell r="BW6139">
            <v>213</v>
          </cell>
        </row>
        <row r="6140">
          <cell r="L6140" t="str">
            <v>WA2602ST52LP</v>
          </cell>
          <cell r="BW6140">
            <v>49</v>
          </cell>
        </row>
        <row r="6141">
          <cell r="L6141" t="str">
            <v>WA2602ST52LP</v>
          </cell>
          <cell r="BW6141">
            <v>87</v>
          </cell>
        </row>
        <row r="6142">
          <cell r="L6142" t="str">
            <v>WA2602ST52LP</v>
          </cell>
          <cell r="BW6142">
            <v>78</v>
          </cell>
        </row>
        <row r="6143">
          <cell r="L6143" t="str">
            <v>WA2602ST52WH</v>
          </cell>
          <cell r="BW6143">
            <v>218</v>
          </cell>
        </row>
        <row r="6144">
          <cell r="L6144" t="str">
            <v>WA2602ST52WH</v>
          </cell>
          <cell r="BW6144">
            <v>226</v>
          </cell>
        </row>
        <row r="6145">
          <cell r="L6145" t="str">
            <v>WA2602ST52WH</v>
          </cell>
          <cell r="BW6145">
            <v>411</v>
          </cell>
        </row>
        <row r="6146">
          <cell r="L6146" t="str">
            <v>WA2602ST53DN</v>
          </cell>
          <cell r="BW6146">
            <v>121</v>
          </cell>
        </row>
        <row r="6147">
          <cell r="L6147" t="str">
            <v>WA2602ST53DN</v>
          </cell>
          <cell r="BW6147">
            <v>127</v>
          </cell>
        </row>
        <row r="6148">
          <cell r="L6148" t="str">
            <v>WA2602ST53GR</v>
          </cell>
          <cell r="BW6148">
            <v>121</v>
          </cell>
        </row>
        <row r="6149">
          <cell r="L6149" t="str">
            <v>WA2602ST53GR</v>
          </cell>
          <cell r="BW6149">
            <v>186</v>
          </cell>
        </row>
        <row r="6150">
          <cell r="L6150" t="str">
            <v>WA2602ST53LG</v>
          </cell>
          <cell r="BW6150">
            <v>62</v>
          </cell>
        </row>
        <row r="6151">
          <cell r="L6151" t="str">
            <v>WA2602ST53LG</v>
          </cell>
          <cell r="BW6151">
            <v>139</v>
          </cell>
        </row>
        <row r="6152">
          <cell r="L6152" t="str">
            <v>WA2602ST54CH</v>
          </cell>
          <cell r="BW6152">
            <v>86</v>
          </cell>
        </row>
        <row r="6153">
          <cell r="L6153" t="str">
            <v>WA2602ST54CH</v>
          </cell>
          <cell r="BW6153">
            <v>121</v>
          </cell>
        </row>
        <row r="6154">
          <cell r="L6154" t="str">
            <v>WA2602ST54CM</v>
          </cell>
          <cell r="BW6154">
            <v>73</v>
          </cell>
        </row>
        <row r="6155">
          <cell r="L6155" t="str">
            <v>WA2602ST54CM</v>
          </cell>
          <cell r="BW6155">
            <v>112</v>
          </cell>
        </row>
        <row r="6156">
          <cell r="L6156" t="str">
            <v>WA2602ST54CM</v>
          </cell>
          <cell r="BW6156">
            <v>127</v>
          </cell>
        </row>
        <row r="6157">
          <cell r="L6157" t="str">
            <v>WA2602ST54WH</v>
          </cell>
          <cell r="BW6157">
            <v>201</v>
          </cell>
        </row>
        <row r="6158">
          <cell r="L6158" t="str">
            <v>WA2602ST54WH</v>
          </cell>
          <cell r="BW6158">
            <v>396</v>
          </cell>
        </row>
        <row r="6159">
          <cell r="L6159" t="str">
            <v>WA2602ST54WH</v>
          </cell>
          <cell r="BW6159">
            <v>571</v>
          </cell>
        </row>
        <row r="6160">
          <cell r="L6160" t="str">
            <v>WA2602ST55DN</v>
          </cell>
          <cell r="BW6160">
            <v>210</v>
          </cell>
        </row>
        <row r="6161">
          <cell r="L6161" t="str">
            <v>WA2602ST55DN</v>
          </cell>
          <cell r="BW6161">
            <v>644</v>
          </cell>
        </row>
        <row r="6162">
          <cell r="L6162" t="str">
            <v>WA2602ST55DN</v>
          </cell>
          <cell r="BW6162">
            <v>592</v>
          </cell>
        </row>
        <row r="6163">
          <cell r="L6163" t="str">
            <v>WA2602ST55LG</v>
          </cell>
          <cell r="BW6163">
            <v>212</v>
          </cell>
        </row>
        <row r="6164">
          <cell r="L6164" t="str">
            <v>WA2602ST55LG</v>
          </cell>
          <cell r="BW6164">
            <v>432</v>
          </cell>
        </row>
        <row r="6165">
          <cell r="L6165" t="str">
            <v>WA2602ST55LG</v>
          </cell>
          <cell r="BW6165">
            <v>418</v>
          </cell>
        </row>
        <row r="6166">
          <cell r="L6166" t="str">
            <v>WA2602ST55PI</v>
          </cell>
          <cell r="BW6166">
            <v>3</v>
          </cell>
        </row>
        <row r="6167">
          <cell r="L6167" t="str">
            <v>WA2602ST55PI</v>
          </cell>
          <cell r="BW6167">
            <v>8</v>
          </cell>
        </row>
        <row r="6168">
          <cell r="L6168" t="str">
            <v>WA2602ST55WH</v>
          </cell>
          <cell r="BW6168">
            <v>401</v>
          </cell>
        </row>
        <row r="6169">
          <cell r="L6169" t="str">
            <v>WA2602ST55WH</v>
          </cell>
          <cell r="BW6169">
            <v>670</v>
          </cell>
        </row>
        <row r="6170">
          <cell r="L6170" t="str">
            <v>WA2602ST55WH</v>
          </cell>
          <cell r="BW6170">
            <v>869</v>
          </cell>
        </row>
        <row r="6171">
          <cell r="L6171" t="str">
            <v>WA2602ST58BK</v>
          </cell>
          <cell r="BW6171">
            <v>0</v>
          </cell>
        </row>
        <row r="6172">
          <cell r="L6172" t="str">
            <v>WA2602ST58PI</v>
          </cell>
          <cell r="BW6172">
            <v>0</v>
          </cell>
        </row>
        <row r="6173">
          <cell r="L6173" t="str">
            <v>WA2602ST58WH</v>
          </cell>
          <cell r="BW6173">
            <v>0</v>
          </cell>
        </row>
        <row r="6174">
          <cell r="L6174" t="str">
            <v>WA2602ST59PI</v>
          </cell>
          <cell r="BW6174">
            <v>117</v>
          </cell>
        </row>
        <row r="6175">
          <cell r="L6175" t="str">
            <v>WA2602ST59PI</v>
          </cell>
          <cell r="BW6175">
            <v>97</v>
          </cell>
        </row>
        <row r="6176">
          <cell r="L6176" t="str">
            <v>WA2602ST59WH</v>
          </cell>
          <cell r="BW6176">
            <v>168</v>
          </cell>
        </row>
        <row r="6177">
          <cell r="L6177" t="str">
            <v>WA2602ST59WH</v>
          </cell>
          <cell r="BW6177">
            <v>130</v>
          </cell>
        </row>
        <row r="6178">
          <cell r="L6178" t="str">
            <v>WA2602ST60LG</v>
          </cell>
          <cell r="BW6178">
            <v>325</v>
          </cell>
        </row>
        <row r="6179">
          <cell r="L6179" t="str">
            <v>WA2602ST60WH</v>
          </cell>
          <cell r="BW6179">
            <v>519</v>
          </cell>
        </row>
        <row r="6180">
          <cell r="L6180" t="str">
            <v>WA2602ST61SB</v>
          </cell>
          <cell r="BW6180">
            <v>60</v>
          </cell>
        </row>
        <row r="6181">
          <cell r="L6181" t="str">
            <v>WA2602ST61SB</v>
          </cell>
          <cell r="BW6181">
            <v>65</v>
          </cell>
        </row>
        <row r="6182">
          <cell r="L6182" t="str">
            <v>WA2602ST61WH</v>
          </cell>
          <cell r="BW6182">
            <v>242</v>
          </cell>
        </row>
        <row r="6183">
          <cell r="L6183" t="str">
            <v>WA2602ST61WH</v>
          </cell>
          <cell r="BW6183">
            <v>221</v>
          </cell>
        </row>
        <row r="6184">
          <cell r="L6184" t="str">
            <v>WA2602ST61WH</v>
          </cell>
          <cell r="BW6184">
            <v>260</v>
          </cell>
        </row>
        <row r="6185">
          <cell r="L6185" t="str">
            <v>WA2602ST62CM</v>
          </cell>
          <cell r="BW6185">
            <v>173</v>
          </cell>
        </row>
        <row r="6186">
          <cell r="L6186" t="str">
            <v>WA2602ST62CM</v>
          </cell>
          <cell r="BW6186">
            <v>149</v>
          </cell>
        </row>
        <row r="6187">
          <cell r="L6187" t="str">
            <v>WA2602ST62SB</v>
          </cell>
          <cell r="BW6187">
            <v>104</v>
          </cell>
        </row>
        <row r="6188">
          <cell r="L6188" t="str">
            <v>WA2602ST62SB</v>
          </cell>
          <cell r="BW6188">
            <v>58</v>
          </cell>
        </row>
        <row r="6189">
          <cell r="L6189" t="str">
            <v>WA2602ST63DN</v>
          </cell>
          <cell r="BW6189">
            <v>166</v>
          </cell>
        </row>
        <row r="6190">
          <cell r="L6190" t="str">
            <v>WA2602ST63OT</v>
          </cell>
          <cell r="BW6190">
            <v>75</v>
          </cell>
        </row>
        <row r="6191">
          <cell r="L6191" t="str">
            <v>WA2602ST63OT</v>
          </cell>
          <cell r="BW6191">
            <v>145</v>
          </cell>
        </row>
        <row r="6192">
          <cell r="L6192" t="str">
            <v>WA2602ST64CM</v>
          </cell>
          <cell r="BW6192">
            <v>345</v>
          </cell>
        </row>
        <row r="6193">
          <cell r="L6193" t="str">
            <v>WA2602ST64CM</v>
          </cell>
          <cell r="BW6193">
            <v>829</v>
          </cell>
        </row>
        <row r="6194">
          <cell r="L6194" t="str">
            <v>WA2602ST64PI</v>
          </cell>
          <cell r="BW6194">
            <v>56</v>
          </cell>
        </row>
        <row r="6195">
          <cell r="L6195" t="str">
            <v>WA2602ST64PI</v>
          </cell>
          <cell r="BW6195">
            <v>148</v>
          </cell>
        </row>
        <row r="6196">
          <cell r="L6196" t="str">
            <v>WA2602ST65LG</v>
          </cell>
          <cell r="BW6196">
            <v>142</v>
          </cell>
        </row>
        <row r="6197">
          <cell r="L6197" t="str">
            <v>WA2602ST65LG</v>
          </cell>
          <cell r="BW6197">
            <v>345</v>
          </cell>
        </row>
        <row r="6198">
          <cell r="L6198" t="str">
            <v>WA2602ST65WH</v>
          </cell>
          <cell r="BW6198">
            <v>316</v>
          </cell>
        </row>
        <row r="6199">
          <cell r="L6199" t="str">
            <v>WA2602ST65WH</v>
          </cell>
          <cell r="BW6199">
            <v>637</v>
          </cell>
        </row>
        <row r="6200">
          <cell r="L6200" t="str">
            <v>WA2602ST66LY</v>
          </cell>
          <cell r="BW6200">
            <v>70</v>
          </cell>
        </row>
        <row r="6201">
          <cell r="L6201" t="str">
            <v>WA2602ST66LY</v>
          </cell>
          <cell r="BW6201">
            <v>40</v>
          </cell>
        </row>
        <row r="6202">
          <cell r="L6202" t="str">
            <v>WA2602ST66WH</v>
          </cell>
          <cell r="BW6202">
            <v>374</v>
          </cell>
        </row>
        <row r="6203">
          <cell r="L6203" t="str">
            <v>WA2602ST66WH</v>
          </cell>
          <cell r="BW6203">
            <v>235</v>
          </cell>
        </row>
        <row r="6204">
          <cell r="L6204" t="str">
            <v>WA2602ST67WH</v>
          </cell>
          <cell r="BW6204">
            <v>485</v>
          </cell>
        </row>
        <row r="6205">
          <cell r="L6205" t="str">
            <v>WA2602ST67WH</v>
          </cell>
          <cell r="BW6205">
            <v>344</v>
          </cell>
        </row>
        <row r="6206">
          <cell r="L6206" t="str">
            <v>WA2602ST68WH</v>
          </cell>
          <cell r="BW6206">
            <v>165</v>
          </cell>
        </row>
        <row r="6207">
          <cell r="L6207" t="str">
            <v>WA2602ST68WH</v>
          </cell>
          <cell r="BW6207">
            <v>97</v>
          </cell>
        </row>
        <row r="6208">
          <cell r="L6208" t="str">
            <v>WA2602ST69DN</v>
          </cell>
          <cell r="BW6208">
            <v>180</v>
          </cell>
        </row>
        <row r="6209">
          <cell r="L6209" t="str">
            <v>WA2602ST69WH</v>
          </cell>
          <cell r="BW6209">
            <v>417</v>
          </cell>
        </row>
        <row r="6210">
          <cell r="L6210" t="str">
            <v>WA2602ST70CH</v>
          </cell>
          <cell r="BW6210">
            <v>153</v>
          </cell>
        </row>
        <row r="6211">
          <cell r="L6211" t="str">
            <v>WA2602ST70SB</v>
          </cell>
          <cell r="BW6211">
            <v>252</v>
          </cell>
        </row>
        <row r="6212">
          <cell r="L6212" t="str">
            <v>WA2602ST71CM</v>
          </cell>
          <cell r="BW6212">
            <v>74</v>
          </cell>
        </row>
        <row r="6213">
          <cell r="L6213" t="str">
            <v>WA2602ST71CM</v>
          </cell>
          <cell r="BW6213">
            <v>49</v>
          </cell>
        </row>
        <row r="6214">
          <cell r="L6214" t="str">
            <v>WA2602ST71GR</v>
          </cell>
          <cell r="BW6214">
            <v>102</v>
          </cell>
        </row>
        <row r="6215">
          <cell r="L6215" t="str">
            <v>WA2602ST71GR</v>
          </cell>
          <cell r="BW6215">
            <v>110</v>
          </cell>
        </row>
        <row r="6216">
          <cell r="L6216" t="str">
            <v>WA2602ST72CM</v>
          </cell>
          <cell r="BW6216">
            <v>256</v>
          </cell>
        </row>
        <row r="6217">
          <cell r="L6217" t="str">
            <v>WA2602ST72CM</v>
          </cell>
          <cell r="BW6217">
            <v>638</v>
          </cell>
        </row>
        <row r="6218">
          <cell r="L6218" t="str">
            <v>WA2602ST72CM</v>
          </cell>
          <cell r="BW6218">
            <v>707</v>
          </cell>
        </row>
        <row r="6219">
          <cell r="L6219" t="str">
            <v>WA2602ST72LN</v>
          </cell>
          <cell r="BW6219">
            <v>75</v>
          </cell>
        </row>
        <row r="6220">
          <cell r="L6220" t="str">
            <v>WA2602ST72LN</v>
          </cell>
          <cell r="BW6220">
            <v>211</v>
          </cell>
        </row>
        <row r="6221">
          <cell r="L6221" t="str">
            <v>WA2602ST72LN</v>
          </cell>
          <cell r="BW6221">
            <v>252</v>
          </cell>
        </row>
        <row r="6222">
          <cell r="L6222" t="str">
            <v>WA2602ST72NA</v>
          </cell>
          <cell r="BW6222">
            <v>76</v>
          </cell>
        </row>
        <row r="6223">
          <cell r="L6223" t="str">
            <v>WA2602ST72NA</v>
          </cell>
          <cell r="BW6223">
            <v>135</v>
          </cell>
        </row>
        <row r="6224">
          <cell r="L6224" t="str">
            <v>WA2602ST72NA</v>
          </cell>
          <cell r="BW6224">
            <v>159</v>
          </cell>
        </row>
        <row r="6225">
          <cell r="L6225" t="str">
            <v>WA2602ST72SB</v>
          </cell>
          <cell r="BW6225">
            <v>180</v>
          </cell>
        </row>
        <row r="6226">
          <cell r="L6226" t="str">
            <v>WA2602ST72SB</v>
          </cell>
          <cell r="BW6226">
            <v>514</v>
          </cell>
        </row>
        <row r="6227">
          <cell r="L6227" t="str">
            <v>WA2602ST72SB</v>
          </cell>
          <cell r="BW6227">
            <v>557</v>
          </cell>
        </row>
        <row r="6228">
          <cell r="L6228" t="str">
            <v>WA2602ST73BL</v>
          </cell>
          <cell r="BW6228">
            <v>240</v>
          </cell>
        </row>
        <row r="6229">
          <cell r="L6229" t="str">
            <v>WA2602ST73BL</v>
          </cell>
          <cell r="BW6229">
            <v>153</v>
          </cell>
        </row>
        <row r="6230">
          <cell r="L6230" t="str">
            <v>WA2602ST73RD</v>
          </cell>
          <cell r="BW6230">
            <v>204</v>
          </cell>
        </row>
        <row r="6231">
          <cell r="L6231" t="str">
            <v>WA2602ST73RD</v>
          </cell>
          <cell r="BW6231">
            <v>121</v>
          </cell>
        </row>
        <row r="6232">
          <cell r="L6232" t="str">
            <v>WA2602ST74CM</v>
          </cell>
          <cell r="BW6232">
            <v>559</v>
          </cell>
        </row>
        <row r="6233">
          <cell r="L6233" t="str">
            <v>WA2602ST74GR</v>
          </cell>
          <cell r="BW6233">
            <v>445</v>
          </cell>
        </row>
        <row r="6234">
          <cell r="L6234" t="str">
            <v>WA2602ST75LG</v>
          </cell>
          <cell r="BW6234">
            <v>248</v>
          </cell>
        </row>
        <row r="6235">
          <cell r="L6235" t="str">
            <v>WA2602ST75LG</v>
          </cell>
          <cell r="BW6235">
            <v>259</v>
          </cell>
        </row>
        <row r="6236">
          <cell r="L6236" t="str">
            <v>WA2602ST75NA</v>
          </cell>
          <cell r="BW6236">
            <v>95</v>
          </cell>
        </row>
        <row r="6237">
          <cell r="L6237" t="str">
            <v>WA2602ST75NA</v>
          </cell>
          <cell r="BW6237">
            <v>124</v>
          </cell>
        </row>
        <row r="6238">
          <cell r="L6238" t="str">
            <v>WA2602ST75TC</v>
          </cell>
          <cell r="BW6238">
            <v>128</v>
          </cell>
        </row>
        <row r="6239">
          <cell r="L6239" t="str">
            <v>WA2602ST75TC</v>
          </cell>
          <cell r="BW6239">
            <v>115</v>
          </cell>
        </row>
        <row r="6240">
          <cell r="L6240" t="str">
            <v>WA2602ST75WH</v>
          </cell>
          <cell r="BW6240">
            <v>283</v>
          </cell>
        </row>
        <row r="6241">
          <cell r="L6241" t="str">
            <v>WA2602ST75WH</v>
          </cell>
          <cell r="BW6241">
            <v>287</v>
          </cell>
        </row>
        <row r="6242">
          <cell r="L6242" t="str">
            <v>WA2602ST76BK</v>
          </cell>
          <cell r="BW6242">
            <v>308</v>
          </cell>
        </row>
        <row r="6243">
          <cell r="L6243" t="str">
            <v>WA2602ST76RD</v>
          </cell>
          <cell r="BW6243">
            <v>94</v>
          </cell>
        </row>
        <row r="6244">
          <cell r="L6244" t="str">
            <v>WA2602ST77WH</v>
          </cell>
          <cell r="BW6244">
            <v>160</v>
          </cell>
        </row>
        <row r="6245">
          <cell r="L6245" t="str">
            <v>WA2602ST78BL</v>
          </cell>
          <cell r="BW6245">
            <v>0</v>
          </cell>
        </row>
        <row r="6246">
          <cell r="L6246" t="str">
            <v>WA2602ST78BL</v>
          </cell>
          <cell r="BW6246">
            <v>0</v>
          </cell>
        </row>
        <row r="6247">
          <cell r="L6247" t="str">
            <v>WA2602ST78CH</v>
          </cell>
          <cell r="BW6247">
            <v>0</v>
          </cell>
        </row>
        <row r="6248">
          <cell r="L6248" t="str">
            <v>WA2602ST78CH</v>
          </cell>
          <cell r="BW6248">
            <v>0</v>
          </cell>
        </row>
        <row r="6249">
          <cell r="L6249" t="str">
            <v>WA2602ST78NA</v>
          </cell>
          <cell r="BW6249">
            <v>18</v>
          </cell>
        </row>
        <row r="6250">
          <cell r="L6250" t="str">
            <v>WA2602ST78NA</v>
          </cell>
          <cell r="BW6250">
            <v>15</v>
          </cell>
        </row>
        <row r="6251">
          <cell r="L6251" t="str">
            <v>WA2602ST78OT</v>
          </cell>
          <cell r="BW6251">
            <v>71</v>
          </cell>
        </row>
        <row r="6252">
          <cell r="L6252" t="str">
            <v>WA2602ST78OT</v>
          </cell>
          <cell r="BW6252">
            <v>68</v>
          </cell>
        </row>
        <row r="6253">
          <cell r="L6253" t="str">
            <v>WA2602ST78WH</v>
          </cell>
          <cell r="BW6253">
            <v>143</v>
          </cell>
        </row>
        <row r="6254">
          <cell r="L6254" t="str">
            <v>WA2602ST78WH</v>
          </cell>
          <cell r="BW6254">
            <v>118</v>
          </cell>
        </row>
        <row r="6255">
          <cell r="L6255" t="str">
            <v>WA2602ST79CH</v>
          </cell>
          <cell r="BW6255">
            <v>-32</v>
          </cell>
        </row>
        <row r="6256">
          <cell r="L6256" t="str">
            <v>WA2602ST79CM</v>
          </cell>
          <cell r="BW6256">
            <v>99</v>
          </cell>
        </row>
        <row r="6257">
          <cell r="L6257" t="str">
            <v>WA2602ST81BK</v>
          </cell>
          <cell r="BW6257">
            <v>185</v>
          </cell>
        </row>
        <row r="6258">
          <cell r="L6258" t="str">
            <v>WA2602ST81BK</v>
          </cell>
          <cell r="BW6258">
            <v>188</v>
          </cell>
        </row>
        <row r="6259">
          <cell r="L6259" t="str">
            <v>WA2602ST81BK</v>
          </cell>
          <cell r="BW6259">
            <v>453</v>
          </cell>
        </row>
        <row r="6260">
          <cell r="L6260" t="str">
            <v>WA2602ST81GR</v>
          </cell>
          <cell r="BW6260">
            <v>56</v>
          </cell>
        </row>
        <row r="6261">
          <cell r="L6261" t="str">
            <v>WA2602ST81GR</v>
          </cell>
          <cell r="BW6261">
            <v>50</v>
          </cell>
        </row>
        <row r="6262">
          <cell r="L6262" t="str">
            <v>WA2602ST81GR</v>
          </cell>
          <cell r="BW6262">
            <v>126</v>
          </cell>
        </row>
        <row r="6263">
          <cell r="L6263" t="str">
            <v>WA2602ST81LB</v>
          </cell>
          <cell r="BW6263">
            <v>55</v>
          </cell>
        </row>
        <row r="6264">
          <cell r="L6264" t="str">
            <v>WA2602ST81LB</v>
          </cell>
          <cell r="BW6264">
            <v>52</v>
          </cell>
        </row>
        <row r="6265">
          <cell r="L6265" t="str">
            <v>WA2602ST81LB</v>
          </cell>
          <cell r="BW6265">
            <v>104</v>
          </cell>
        </row>
        <row r="6266">
          <cell r="L6266" t="str">
            <v>WA2602ST82BK</v>
          </cell>
          <cell r="BW6266">
            <v>118</v>
          </cell>
        </row>
        <row r="6267">
          <cell r="L6267" t="str">
            <v>WA2602ST82BK</v>
          </cell>
          <cell r="BW6267">
            <v>125</v>
          </cell>
        </row>
        <row r="6268">
          <cell r="L6268" t="str">
            <v>WA2602ST82BK</v>
          </cell>
          <cell r="BW6268">
            <v>274</v>
          </cell>
        </row>
        <row r="6269">
          <cell r="L6269" t="str">
            <v>WA2602ST82WH</v>
          </cell>
          <cell r="BW6269">
            <v>135</v>
          </cell>
        </row>
        <row r="6270">
          <cell r="L6270" t="str">
            <v>WA2602ST82WH</v>
          </cell>
          <cell r="BW6270">
            <v>143</v>
          </cell>
        </row>
        <row r="6271">
          <cell r="L6271" t="str">
            <v>WA2602ST82WH</v>
          </cell>
          <cell r="BW6271">
            <v>315</v>
          </cell>
        </row>
        <row r="6272">
          <cell r="L6272" t="str">
            <v>WA2602ST83LG</v>
          </cell>
          <cell r="BW6272">
            <v>120</v>
          </cell>
        </row>
        <row r="6273">
          <cell r="L6273" t="str">
            <v>WA2602ST83LG</v>
          </cell>
          <cell r="BW6273">
            <v>125</v>
          </cell>
        </row>
        <row r="6274">
          <cell r="L6274" t="str">
            <v>WA2602ST83LG</v>
          </cell>
          <cell r="BW6274">
            <v>267</v>
          </cell>
        </row>
        <row r="6275">
          <cell r="L6275" t="str">
            <v>WA2602ST84CH</v>
          </cell>
          <cell r="BW6275">
            <v>48</v>
          </cell>
        </row>
        <row r="6276">
          <cell r="L6276" t="str">
            <v>WA2602ST84CH</v>
          </cell>
          <cell r="BW6276">
            <v>45</v>
          </cell>
        </row>
        <row r="6277">
          <cell r="L6277" t="str">
            <v>WA2602ST84CH</v>
          </cell>
          <cell r="BW6277">
            <v>98</v>
          </cell>
        </row>
        <row r="6278">
          <cell r="L6278" t="str">
            <v>WA2602ST84WH</v>
          </cell>
          <cell r="BW6278">
            <v>96</v>
          </cell>
        </row>
        <row r="6279">
          <cell r="L6279" t="str">
            <v>WA2602ST84WH</v>
          </cell>
          <cell r="BW6279">
            <v>107</v>
          </cell>
        </row>
        <row r="6280">
          <cell r="L6280" t="str">
            <v>WA2602ST84WH</v>
          </cell>
          <cell r="BW6280">
            <v>240</v>
          </cell>
        </row>
        <row r="6281">
          <cell r="L6281" t="str">
            <v>WA2602ST84YE</v>
          </cell>
          <cell r="BW6281">
            <v>20</v>
          </cell>
        </row>
        <row r="6282">
          <cell r="L6282" t="str">
            <v>WA2602ST84YE</v>
          </cell>
          <cell r="BW6282">
            <v>32</v>
          </cell>
        </row>
        <row r="6283">
          <cell r="L6283" t="str">
            <v>WA2602ST84YE</v>
          </cell>
          <cell r="BW6283">
            <v>73</v>
          </cell>
        </row>
        <row r="6284">
          <cell r="L6284" t="str">
            <v>WA2602ST85WH</v>
          </cell>
          <cell r="BW6284">
            <v>25</v>
          </cell>
        </row>
        <row r="6285">
          <cell r="L6285" t="str">
            <v>WA2602ST85WH</v>
          </cell>
          <cell r="BW6285">
            <v>31</v>
          </cell>
        </row>
        <row r="6286">
          <cell r="L6286" t="str">
            <v>WA2602ST85WH</v>
          </cell>
          <cell r="BW6286">
            <v>46</v>
          </cell>
        </row>
        <row r="6287">
          <cell r="L6287" t="str">
            <v>WA2602ST99BK</v>
          </cell>
          <cell r="BW6287">
            <v>0</v>
          </cell>
        </row>
        <row r="6288">
          <cell r="L6288" t="str">
            <v>WA2602ST99BK</v>
          </cell>
          <cell r="BW6288">
            <v>0</v>
          </cell>
        </row>
        <row r="6289">
          <cell r="L6289" t="str">
            <v>WA2602ST99WH</v>
          </cell>
          <cell r="BW6289">
            <v>0</v>
          </cell>
        </row>
        <row r="6290">
          <cell r="L6290" t="str">
            <v>WA2602ST99WH</v>
          </cell>
          <cell r="BW6290">
            <v>0</v>
          </cell>
        </row>
        <row r="6291">
          <cell r="L6291" t="str">
            <v>WA2602STC1BK</v>
          </cell>
          <cell r="BW6291">
            <v>0</v>
          </cell>
        </row>
        <row r="6292">
          <cell r="L6292" t="str">
            <v>WA2602STC1BK</v>
          </cell>
          <cell r="BW6292">
            <v>0</v>
          </cell>
        </row>
        <row r="6293">
          <cell r="L6293" t="str">
            <v>WA2602STC1BK</v>
          </cell>
          <cell r="BW6293">
            <v>0</v>
          </cell>
        </row>
        <row r="6294">
          <cell r="L6294" t="str">
            <v>WA2602STC1BK</v>
          </cell>
          <cell r="BW6294">
            <v>0</v>
          </cell>
        </row>
        <row r="6295">
          <cell r="L6295" t="str">
            <v>WA2602STC2LB</v>
          </cell>
          <cell r="BW6295">
            <v>0</v>
          </cell>
        </row>
        <row r="6296">
          <cell r="L6296" t="str">
            <v>WA2602STC2LB</v>
          </cell>
          <cell r="BW6296">
            <v>0</v>
          </cell>
        </row>
        <row r="6297">
          <cell r="L6297" t="str">
            <v>WA2602STC2LB</v>
          </cell>
          <cell r="BW6297">
            <v>0</v>
          </cell>
        </row>
        <row r="6298">
          <cell r="L6298" t="str">
            <v>WA2602STC2LB</v>
          </cell>
          <cell r="BW6298">
            <v>0</v>
          </cell>
        </row>
        <row r="6299">
          <cell r="L6299" t="str">
            <v>WA2602STC3WH</v>
          </cell>
          <cell r="BW6299">
            <v>0</v>
          </cell>
        </row>
        <row r="6300">
          <cell r="L6300" t="str">
            <v>WA2602STC3WH</v>
          </cell>
          <cell r="BW6300">
            <v>0</v>
          </cell>
        </row>
        <row r="6301">
          <cell r="L6301" t="str">
            <v>WA2602STC3WH</v>
          </cell>
          <cell r="BW6301">
            <v>0</v>
          </cell>
        </row>
        <row r="6302">
          <cell r="L6302" t="str">
            <v>WA2602STC3WH</v>
          </cell>
          <cell r="BW6302">
            <v>0</v>
          </cell>
        </row>
        <row r="6303">
          <cell r="L6303" t="str">
            <v>WA2602STE1TC</v>
          </cell>
          <cell r="BW6303">
            <v>0</v>
          </cell>
        </row>
        <row r="6304">
          <cell r="L6304" t="str">
            <v>WA2602STE1TC</v>
          </cell>
          <cell r="BW6304">
            <v>0</v>
          </cell>
        </row>
        <row r="6305">
          <cell r="L6305" t="str">
            <v>WA2602STE1TC</v>
          </cell>
          <cell r="BW6305">
            <v>0</v>
          </cell>
        </row>
        <row r="6306">
          <cell r="L6306" t="str">
            <v>WA2602STE1TC</v>
          </cell>
          <cell r="BW6306">
            <v>0</v>
          </cell>
        </row>
        <row r="6307">
          <cell r="L6307" t="str">
            <v>WA2602STE1TC</v>
          </cell>
          <cell r="BW6307">
            <v>0</v>
          </cell>
        </row>
        <row r="6308">
          <cell r="L6308" t="str">
            <v>WA2602STE2TC</v>
          </cell>
          <cell r="BW6308">
            <v>215</v>
          </cell>
        </row>
        <row r="6309">
          <cell r="L6309" t="str">
            <v>WA2602STE2TC</v>
          </cell>
          <cell r="BW6309">
            <v>211</v>
          </cell>
        </row>
        <row r="6310">
          <cell r="L6310" t="str">
            <v>WA2602STE2TC</v>
          </cell>
          <cell r="BW6310">
            <v>7</v>
          </cell>
        </row>
        <row r="6311">
          <cell r="L6311" t="str">
            <v>WA2602STE3TC</v>
          </cell>
          <cell r="BW6311">
            <v>0</v>
          </cell>
        </row>
        <row r="6312">
          <cell r="L6312" t="str">
            <v>WA2602STE3TC</v>
          </cell>
          <cell r="BW6312">
            <v>0</v>
          </cell>
        </row>
        <row r="6313">
          <cell r="L6313" t="str">
            <v>WA2602STE3TC</v>
          </cell>
          <cell r="BW6313">
            <v>0</v>
          </cell>
        </row>
        <row r="6314">
          <cell r="L6314" t="str">
            <v>WA2602STE3TC</v>
          </cell>
          <cell r="BW6314">
            <v>0</v>
          </cell>
        </row>
        <row r="6315">
          <cell r="L6315" t="str">
            <v>WA2602STE3TC</v>
          </cell>
          <cell r="BW6315">
            <v>0</v>
          </cell>
        </row>
        <row r="6316">
          <cell r="L6316" t="str">
            <v>WA2602STF1BK</v>
          </cell>
          <cell r="BW6316">
            <v>49</v>
          </cell>
        </row>
        <row r="6317">
          <cell r="L6317" t="str">
            <v>WA2602STF1BK</v>
          </cell>
          <cell r="BW6317">
            <v>65</v>
          </cell>
        </row>
        <row r="6318">
          <cell r="L6318" t="str">
            <v>WA2602STF1BK</v>
          </cell>
          <cell r="BW6318">
            <v>56</v>
          </cell>
        </row>
        <row r="6319">
          <cell r="L6319" t="str">
            <v>WA2602STF1BK</v>
          </cell>
          <cell r="BW6319">
            <v>25</v>
          </cell>
        </row>
        <row r="6320">
          <cell r="L6320" t="str">
            <v>WA2602STF2WH</v>
          </cell>
          <cell r="BW6320">
            <v>47</v>
          </cell>
        </row>
        <row r="6321">
          <cell r="L6321" t="str">
            <v>WA2602STF2WH</v>
          </cell>
          <cell r="BW6321">
            <v>56</v>
          </cell>
        </row>
        <row r="6322">
          <cell r="L6322" t="str">
            <v>WA2602STF2WH</v>
          </cell>
          <cell r="BW6322">
            <v>48</v>
          </cell>
        </row>
        <row r="6323">
          <cell r="L6323" t="str">
            <v>WA2602STF2WH</v>
          </cell>
          <cell r="BW6323">
            <v>23</v>
          </cell>
        </row>
        <row r="6324">
          <cell r="L6324" t="str">
            <v>WA2602STG1PI</v>
          </cell>
          <cell r="BW6324">
            <v>0</v>
          </cell>
        </row>
        <row r="6325">
          <cell r="L6325" t="str">
            <v>WA2602STG1PI</v>
          </cell>
          <cell r="BW6325">
            <v>24</v>
          </cell>
        </row>
        <row r="6326">
          <cell r="L6326" t="str">
            <v>WA2602STG1WH</v>
          </cell>
          <cell r="BW6326">
            <v>2</v>
          </cell>
        </row>
        <row r="6327">
          <cell r="L6327" t="str">
            <v>WA2602STG1WH</v>
          </cell>
          <cell r="BW6327">
            <v>7</v>
          </cell>
        </row>
        <row r="6328">
          <cell r="L6328" t="str">
            <v>WA2602STH1WH</v>
          </cell>
          <cell r="BW6328">
            <v>0</v>
          </cell>
        </row>
        <row r="6329">
          <cell r="L6329" t="str">
            <v>WA2602STH1WH</v>
          </cell>
          <cell r="BW6329">
            <v>0</v>
          </cell>
        </row>
        <row r="6330">
          <cell r="L6330" t="str">
            <v>WA2602STH1WH</v>
          </cell>
          <cell r="BW6330">
            <v>0</v>
          </cell>
        </row>
        <row r="6331">
          <cell r="L6331" t="str">
            <v>WA2602STH1WH</v>
          </cell>
          <cell r="BW6331">
            <v>0</v>
          </cell>
        </row>
        <row r="6332">
          <cell r="L6332" t="str">
            <v>WA2602STH2WH</v>
          </cell>
          <cell r="BW6332">
            <v>0</v>
          </cell>
        </row>
        <row r="6333">
          <cell r="L6333" t="str">
            <v>WA2602STH2WH</v>
          </cell>
          <cell r="BW6333">
            <v>0</v>
          </cell>
        </row>
        <row r="6334">
          <cell r="L6334" t="str">
            <v>WA2602STH2WH</v>
          </cell>
          <cell r="BW6334">
            <v>0</v>
          </cell>
        </row>
        <row r="6335">
          <cell r="L6335" t="str">
            <v>WA2602STH2WH</v>
          </cell>
          <cell r="BW6335">
            <v>0</v>
          </cell>
        </row>
        <row r="6336">
          <cell r="L6336" t="str">
            <v>WA2602STM1BE</v>
          </cell>
          <cell r="BW6336">
            <v>0</v>
          </cell>
        </row>
        <row r="6337">
          <cell r="L6337" t="str">
            <v>WA2602STM1BE</v>
          </cell>
          <cell r="BW6337">
            <v>0</v>
          </cell>
        </row>
        <row r="6338">
          <cell r="L6338" t="str">
            <v>WA2602STM1BE</v>
          </cell>
          <cell r="BW6338">
            <v>0</v>
          </cell>
        </row>
        <row r="6339">
          <cell r="L6339" t="str">
            <v>WA2602STM1NA</v>
          </cell>
          <cell r="BW6339">
            <v>0</v>
          </cell>
        </row>
        <row r="6340">
          <cell r="L6340" t="str">
            <v>WA2602STM1NA</v>
          </cell>
          <cell r="BW6340">
            <v>0</v>
          </cell>
        </row>
        <row r="6341">
          <cell r="L6341" t="str">
            <v>WA2602STM1NA</v>
          </cell>
          <cell r="BW6341">
            <v>0</v>
          </cell>
        </row>
        <row r="6342">
          <cell r="L6342" t="str">
            <v>WA2602STM2CH</v>
          </cell>
          <cell r="BW6342">
            <v>0</v>
          </cell>
        </row>
        <row r="6343">
          <cell r="L6343" t="str">
            <v>WA2602STM2CH</v>
          </cell>
          <cell r="BW6343">
            <v>0</v>
          </cell>
        </row>
        <row r="6344">
          <cell r="L6344" t="str">
            <v>WA2602STM2CH</v>
          </cell>
          <cell r="BW6344">
            <v>0</v>
          </cell>
        </row>
        <row r="6345">
          <cell r="L6345" t="str">
            <v>WA2602STM2CM</v>
          </cell>
          <cell r="BW6345">
            <v>0</v>
          </cell>
        </row>
        <row r="6346">
          <cell r="L6346" t="str">
            <v>WA2602STM2CM</v>
          </cell>
          <cell r="BW6346">
            <v>0</v>
          </cell>
        </row>
        <row r="6347">
          <cell r="L6347" t="str">
            <v>WA2602STM2CM</v>
          </cell>
          <cell r="BW6347">
            <v>0</v>
          </cell>
        </row>
        <row r="6348">
          <cell r="L6348" t="str">
            <v>WA2602STM5DN</v>
          </cell>
          <cell r="BW6348">
            <v>0</v>
          </cell>
        </row>
        <row r="6349">
          <cell r="L6349" t="str">
            <v>WA2602STM5DN</v>
          </cell>
          <cell r="BW6349">
            <v>0</v>
          </cell>
        </row>
        <row r="6350">
          <cell r="L6350" t="str">
            <v>WA2602STM5WH</v>
          </cell>
          <cell r="BW6350">
            <v>0</v>
          </cell>
        </row>
        <row r="6351">
          <cell r="L6351" t="str">
            <v>WA2602STM5WH</v>
          </cell>
          <cell r="BW6351">
            <v>0</v>
          </cell>
        </row>
        <row r="6352">
          <cell r="L6352" t="str">
            <v>WA2602STM6LG</v>
          </cell>
          <cell r="BW6352">
            <v>0</v>
          </cell>
        </row>
        <row r="6353">
          <cell r="L6353" t="str">
            <v>WA2602STM6LG</v>
          </cell>
          <cell r="BW6353">
            <v>0</v>
          </cell>
        </row>
        <row r="6354">
          <cell r="L6354" t="str">
            <v>WA2602STM6SB</v>
          </cell>
          <cell r="BW6354">
            <v>0</v>
          </cell>
        </row>
        <row r="6355">
          <cell r="L6355" t="str">
            <v>WA2602STM6SB</v>
          </cell>
          <cell r="BW6355">
            <v>0</v>
          </cell>
        </row>
        <row r="6356">
          <cell r="L6356" t="str">
            <v>WA2602STM6WH</v>
          </cell>
          <cell r="BW6356">
            <v>0</v>
          </cell>
        </row>
        <row r="6357">
          <cell r="L6357" t="str">
            <v>WA2602STM6WH</v>
          </cell>
          <cell r="BW6357">
            <v>0</v>
          </cell>
        </row>
        <row r="6358">
          <cell r="L6358" t="str">
            <v>WA2602STM7OL</v>
          </cell>
          <cell r="BW6358">
            <v>0</v>
          </cell>
        </row>
        <row r="6359">
          <cell r="L6359" t="str">
            <v>WA2602STM7WH</v>
          </cell>
          <cell r="BW6359">
            <v>0</v>
          </cell>
        </row>
        <row r="6360">
          <cell r="L6360" t="str">
            <v>WA2602STO1BK</v>
          </cell>
          <cell r="BW6360">
            <v>494</v>
          </cell>
        </row>
        <row r="6361">
          <cell r="L6361" t="str">
            <v>WA2602STO1BK</v>
          </cell>
          <cell r="BW6361">
            <v>514</v>
          </cell>
        </row>
        <row r="6362">
          <cell r="L6362" t="str">
            <v>WA2602STO1BK</v>
          </cell>
          <cell r="BW6362">
            <v>477</v>
          </cell>
        </row>
        <row r="6363">
          <cell r="L6363" t="str">
            <v>WA2602STO1BK</v>
          </cell>
          <cell r="BW6363">
            <v>335</v>
          </cell>
        </row>
        <row r="6364">
          <cell r="L6364" t="str">
            <v>WA2602STO1BK</v>
          </cell>
          <cell r="BW6364">
            <v>164</v>
          </cell>
        </row>
        <row r="6365">
          <cell r="L6365" t="str">
            <v>WA2602STO1WH</v>
          </cell>
          <cell r="BW6365">
            <v>485</v>
          </cell>
        </row>
        <row r="6366">
          <cell r="L6366" t="str">
            <v>WA2602STO1WH</v>
          </cell>
          <cell r="BW6366">
            <v>538</v>
          </cell>
        </row>
        <row r="6367">
          <cell r="L6367" t="str">
            <v>WA2602STO1WH</v>
          </cell>
          <cell r="BW6367">
            <v>390</v>
          </cell>
        </row>
        <row r="6368">
          <cell r="L6368" t="str">
            <v>WA2602STO1WH</v>
          </cell>
          <cell r="BW6368">
            <v>396</v>
          </cell>
        </row>
        <row r="6369">
          <cell r="L6369" t="str">
            <v>WA2602STO1WH</v>
          </cell>
          <cell r="BW6369">
            <v>103</v>
          </cell>
        </row>
        <row r="6370">
          <cell r="L6370" t="str">
            <v>WA2602STR1CH</v>
          </cell>
          <cell r="BW6370">
            <v>77</v>
          </cell>
        </row>
        <row r="6371">
          <cell r="L6371" t="str">
            <v>WA2602STR1CH</v>
          </cell>
          <cell r="BW6371">
            <v>80</v>
          </cell>
        </row>
        <row r="6372">
          <cell r="L6372" t="str">
            <v>WA2602STR1CH</v>
          </cell>
          <cell r="BW6372">
            <v>35</v>
          </cell>
        </row>
        <row r="6373">
          <cell r="L6373" t="str">
            <v>WA2602STR1WH</v>
          </cell>
          <cell r="BW6373">
            <v>58</v>
          </cell>
        </row>
        <row r="6374">
          <cell r="L6374" t="str">
            <v>WA2602STR1WH</v>
          </cell>
          <cell r="BW6374">
            <v>63</v>
          </cell>
        </row>
        <row r="6375">
          <cell r="L6375" t="str">
            <v>WA2602STR1WH</v>
          </cell>
          <cell r="BW6375">
            <v>32</v>
          </cell>
        </row>
        <row r="6376">
          <cell r="L6376" t="str">
            <v>WA2602STR2BK</v>
          </cell>
          <cell r="BW6376">
            <v>73</v>
          </cell>
        </row>
        <row r="6377">
          <cell r="L6377" t="str">
            <v>WA2602STR2BK</v>
          </cell>
          <cell r="BW6377">
            <v>80</v>
          </cell>
        </row>
        <row r="6378">
          <cell r="L6378" t="str">
            <v>WA2602STR2BK</v>
          </cell>
          <cell r="BW6378">
            <v>42</v>
          </cell>
        </row>
        <row r="6379">
          <cell r="L6379" t="str">
            <v>WA2602STR2TC</v>
          </cell>
          <cell r="BW6379">
            <v>41</v>
          </cell>
        </row>
        <row r="6380">
          <cell r="L6380" t="str">
            <v>WA2602STR2TC</v>
          </cell>
          <cell r="BW6380">
            <v>41</v>
          </cell>
        </row>
        <row r="6381">
          <cell r="L6381" t="str">
            <v>WA2602STR2TC</v>
          </cell>
          <cell r="BW6381">
            <v>21</v>
          </cell>
        </row>
        <row r="6382">
          <cell r="L6382" t="str">
            <v>WA2602STR3PI</v>
          </cell>
          <cell r="BW6382">
            <v>59</v>
          </cell>
        </row>
        <row r="6383">
          <cell r="L6383" t="str">
            <v>WA2602STR3PI</v>
          </cell>
          <cell r="BW6383">
            <v>55</v>
          </cell>
        </row>
        <row r="6384">
          <cell r="L6384" t="str">
            <v>WA2602STR3PI</v>
          </cell>
          <cell r="BW6384">
            <v>31</v>
          </cell>
        </row>
        <row r="6385">
          <cell r="L6385" t="str">
            <v>WA2602STR3PI</v>
          </cell>
          <cell r="BW6385">
            <v>48</v>
          </cell>
        </row>
        <row r="6386">
          <cell r="L6386" t="str">
            <v>WA2602STR3WH</v>
          </cell>
          <cell r="BW6386">
            <v>114</v>
          </cell>
        </row>
        <row r="6387">
          <cell r="L6387" t="str">
            <v>WA2602STR3WH</v>
          </cell>
          <cell r="BW6387">
            <v>104</v>
          </cell>
        </row>
        <row r="6388">
          <cell r="L6388" t="str">
            <v>WA2602STR3WH</v>
          </cell>
          <cell r="BW6388">
            <v>67</v>
          </cell>
        </row>
        <row r="6389">
          <cell r="L6389" t="str">
            <v>WA2602STR3WH</v>
          </cell>
          <cell r="BW6389">
            <v>103</v>
          </cell>
        </row>
        <row r="6390">
          <cell r="L6390" t="str">
            <v>WA2602STR4BK</v>
          </cell>
          <cell r="BW6390">
            <v>104</v>
          </cell>
        </row>
        <row r="6391">
          <cell r="L6391" t="str">
            <v>WA2602STR4BK</v>
          </cell>
          <cell r="BW6391">
            <v>108</v>
          </cell>
        </row>
        <row r="6392">
          <cell r="L6392" t="str">
            <v>WA2602STR4BK</v>
          </cell>
          <cell r="BW6392">
            <v>73</v>
          </cell>
        </row>
        <row r="6393">
          <cell r="L6393" t="str">
            <v>WA2602STR4BK</v>
          </cell>
          <cell r="BW6393">
            <v>85</v>
          </cell>
        </row>
        <row r="6394">
          <cell r="L6394" t="str">
            <v>WA2602STR4LI</v>
          </cell>
          <cell r="BW6394">
            <v>28</v>
          </cell>
        </row>
        <row r="6395">
          <cell r="L6395" t="str">
            <v>WA2602STR4LI</v>
          </cell>
          <cell r="BW6395">
            <v>27</v>
          </cell>
        </row>
        <row r="6396">
          <cell r="L6396" t="str">
            <v>WA2602STR4LI</v>
          </cell>
          <cell r="BW6396">
            <v>16</v>
          </cell>
        </row>
        <row r="6397">
          <cell r="L6397" t="str">
            <v>WA2602STR4LI</v>
          </cell>
          <cell r="BW6397">
            <v>27</v>
          </cell>
        </row>
        <row r="6398">
          <cell r="L6398" t="str">
            <v>WA2602STR5BK</v>
          </cell>
          <cell r="BW6398">
            <v>53</v>
          </cell>
        </row>
        <row r="6399">
          <cell r="L6399" t="str">
            <v>WA2602STR5BK</v>
          </cell>
          <cell r="BW6399">
            <v>54</v>
          </cell>
        </row>
        <row r="6400">
          <cell r="L6400" t="str">
            <v>WA2602STR5BK</v>
          </cell>
          <cell r="BW6400">
            <v>38</v>
          </cell>
        </row>
        <row r="6401">
          <cell r="L6401" t="str">
            <v>WA2602STR5BK</v>
          </cell>
          <cell r="BW6401">
            <v>45</v>
          </cell>
        </row>
        <row r="6402">
          <cell r="L6402" t="str">
            <v>WA2602STR6TC</v>
          </cell>
          <cell r="BW6402">
            <v>57</v>
          </cell>
        </row>
        <row r="6403">
          <cell r="L6403" t="str">
            <v>WA2602STR6TC</v>
          </cell>
          <cell r="BW6403">
            <v>60</v>
          </cell>
        </row>
        <row r="6404">
          <cell r="L6404" t="str">
            <v>WA2602STR6TC</v>
          </cell>
          <cell r="BW6404">
            <v>32</v>
          </cell>
        </row>
        <row r="6405">
          <cell r="L6405" t="str">
            <v>WA2602STS1PI</v>
          </cell>
          <cell r="BW6405">
            <v>54</v>
          </cell>
        </row>
        <row r="6406">
          <cell r="L6406" t="str">
            <v>WA2602STS1PI</v>
          </cell>
          <cell r="BW6406">
            <v>31</v>
          </cell>
        </row>
        <row r="6407">
          <cell r="L6407" t="str">
            <v>WA2602STS1PI</v>
          </cell>
          <cell r="BW6407">
            <v>42</v>
          </cell>
        </row>
        <row r="6408">
          <cell r="L6408" t="str">
            <v>WA2602STS1PI</v>
          </cell>
          <cell r="BW6408">
            <v>3</v>
          </cell>
        </row>
        <row r="6409">
          <cell r="L6409" t="str">
            <v>WA2602STS1WH</v>
          </cell>
          <cell r="BW6409">
            <v>128</v>
          </cell>
        </row>
        <row r="6410">
          <cell r="L6410" t="str">
            <v>WA2602STS1WH</v>
          </cell>
          <cell r="BW6410">
            <v>145</v>
          </cell>
        </row>
        <row r="6411">
          <cell r="L6411" t="str">
            <v>WA2602STS1WH</v>
          </cell>
          <cell r="BW6411">
            <v>165</v>
          </cell>
        </row>
        <row r="6412">
          <cell r="L6412" t="str">
            <v>WA2602STS1WH</v>
          </cell>
          <cell r="BW6412">
            <v>44</v>
          </cell>
        </row>
        <row r="6413">
          <cell r="L6413" t="str">
            <v>WA2602STS2BK</v>
          </cell>
          <cell r="BW6413">
            <v>151</v>
          </cell>
        </row>
        <row r="6414">
          <cell r="L6414" t="str">
            <v>WA2602STS2BK</v>
          </cell>
          <cell r="BW6414">
            <v>151</v>
          </cell>
        </row>
        <row r="6415">
          <cell r="L6415" t="str">
            <v>WA2602STS2BK</v>
          </cell>
          <cell r="BW6415">
            <v>123</v>
          </cell>
        </row>
        <row r="6416">
          <cell r="L6416" t="str">
            <v>WA2602STS2BK</v>
          </cell>
          <cell r="BW6416">
            <v>37</v>
          </cell>
        </row>
        <row r="6417">
          <cell r="L6417" t="str">
            <v>WA2602STS2LG</v>
          </cell>
          <cell r="BW6417">
            <v>175</v>
          </cell>
        </row>
        <row r="6418">
          <cell r="L6418" t="str">
            <v>WA2602STS2LG</v>
          </cell>
          <cell r="BW6418">
            <v>166</v>
          </cell>
        </row>
        <row r="6419">
          <cell r="L6419" t="str">
            <v>WA2602STS2LG</v>
          </cell>
          <cell r="BW6419">
            <v>161</v>
          </cell>
        </row>
        <row r="6420">
          <cell r="L6420" t="str">
            <v>WA2602STS2LG</v>
          </cell>
          <cell r="BW6420">
            <v>60</v>
          </cell>
        </row>
        <row r="6421">
          <cell r="L6421" t="str">
            <v>WA2602STS2LN</v>
          </cell>
          <cell r="BW6421">
            <v>74</v>
          </cell>
        </row>
        <row r="6422">
          <cell r="L6422" t="str">
            <v>WA2602STS2LN</v>
          </cell>
          <cell r="BW6422">
            <v>68</v>
          </cell>
        </row>
        <row r="6423">
          <cell r="L6423" t="str">
            <v>WA2602STS2LN</v>
          </cell>
          <cell r="BW6423">
            <v>68</v>
          </cell>
        </row>
        <row r="6424">
          <cell r="L6424" t="str">
            <v>WA2602STS2LN</v>
          </cell>
          <cell r="BW6424">
            <v>7</v>
          </cell>
        </row>
        <row r="6425">
          <cell r="L6425" t="str">
            <v>WA2602STS3CM</v>
          </cell>
          <cell r="BW6425">
            <v>81</v>
          </cell>
        </row>
        <row r="6426">
          <cell r="L6426" t="str">
            <v>WA2602STS3CM</v>
          </cell>
          <cell r="BW6426">
            <v>83</v>
          </cell>
        </row>
        <row r="6427">
          <cell r="L6427" t="str">
            <v>WA2602STS3CM</v>
          </cell>
          <cell r="BW6427">
            <v>125</v>
          </cell>
        </row>
        <row r="6428">
          <cell r="L6428" t="str">
            <v>WA2602STS3CM</v>
          </cell>
          <cell r="BW6428">
            <v>21</v>
          </cell>
        </row>
        <row r="6429">
          <cell r="L6429" t="str">
            <v>WA2602STS3GN</v>
          </cell>
          <cell r="BW6429">
            <v>46</v>
          </cell>
        </row>
        <row r="6430">
          <cell r="L6430" t="str">
            <v>WA2602STS3GN</v>
          </cell>
          <cell r="BW6430">
            <v>62</v>
          </cell>
        </row>
        <row r="6431">
          <cell r="L6431" t="str">
            <v>WA2602STS3GN</v>
          </cell>
          <cell r="BW6431">
            <v>80</v>
          </cell>
        </row>
        <row r="6432">
          <cell r="L6432" t="str">
            <v>WA2602STS3GN</v>
          </cell>
          <cell r="BW6432">
            <v>12</v>
          </cell>
        </row>
        <row r="6433">
          <cell r="L6433" t="str">
            <v>WA2602STS4LY</v>
          </cell>
          <cell r="BW6433">
            <v>54</v>
          </cell>
        </row>
        <row r="6434">
          <cell r="L6434" t="str">
            <v>WA2602STS4LY</v>
          </cell>
          <cell r="BW6434">
            <v>49</v>
          </cell>
        </row>
        <row r="6435">
          <cell r="L6435" t="str">
            <v>WA2602STS4LY</v>
          </cell>
          <cell r="BW6435">
            <v>64</v>
          </cell>
        </row>
        <row r="6436">
          <cell r="L6436" t="str">
            <v>WA2602STS4LY</v>
          </cell>
          <cell r="BW6436">
            <v>15</v>
          </cell>
        </row>
        <row r="6437">
          <cell r="L6437" t="str">
            <v>WA2602STS4WH</v>
          </cell>
          <cell r="BW6437">
            <v>164</v>
          </cell>
        </row>
        <row r="6438">
          <cell r="L6438" t="str">
            <v>WA2602STS4WH</v>
          </cell>
          <cell r="BW6438">
            <v>158</v>
          </cell>
        </row>
        <row r="6439">
          <cell r="L6439" t="str">
            <v>WA2602STS4WH</v>
          </cell>
          <cell r="BW6439">
            <v>165</v>
          </cell>
        </row>
        <row r="6440">
          <cell r="L6440" t="str">
            <v>WA2602STS4WH</v>
          </cell>
          <cell r="BW6440">
            <v>57</v>
          </cell>
        </row>
        <row r="6441">
          <cell r="L6441" t="str">
            <v>WA2602STS5BL</v>
          </cell>
          <cell r="BW6441">
            <v>61</v>
          </cell>
        </row>
        <row r="6442">
          <cell r="L6442" t="str">
            <v>WA2602STS5BL</v>
          </cell>
          <cell r="BW6442">
            <v>44</v>
          </cell>
        </row>
        <row r="6443">
          <cell r="L6443" t="str">
            <v>WA2602STS5BL</v>
          </cell>
          <cell r="BW6443">
            <v>52</v>
          </cell>
        </row>
        <row r="6444">
          <cell r="L6444" t="str">
            <v>WA2602STS5BL</v>
          </cell>
          <cell r="BW6444">
            <v>16</v>
          </cell>
        </row>
        <row r="6445">
          <cell r="L6445" t="str">
            <v>WA2602STS5LG</v>
          </cell>
          <cell r="BW6445">
            <v>156</v>
          </cell>
        </row>
        <row r="6446">
          <cell r="L6446" t="str">
            <v>WA2602STS5LG</v>
          </cell>
          <cell r="BW6446">
            <v>152</v>
          </cell>
        </row>
        <row r="6447">
          <cell r="L6447" t="str">
            <v>WA2602STS5LG</v>
          </cell>
          <cell r="BW6447">
            <v>133</v>
          </cell>
        </row>
        <row r="6448">
          <cell r="L6448" t="str">
            <v>WA2602STS5LG</v>
          </cell>
          <cell r="BW6448">
            <v>58</v>
          </cell>
        </row>
        <row r="6449">
          <cell r="L6449" t="str">
            <v>WA2602STT1CM</v>
          </cell>
          <cell r="BW6449">
            <v>0</v>
          </cell>
        </row>
        <row r="6450">
          <cell r="L6450" t="str">
            <v>WA2602STT1CM</v>
          </cell>
          <cell r="BW6450">
            <v>0</v>
          </cell>
        </row>
        <row r="6451">
          <cell r="L6451" t="str">
            <v>WA2602STT1CM</v>
          </cell>
          <cell r="BW6451">
            <v>0</v>
          </cell>
        </row>
        <row r="6452">
          <cell r="L6452" t="str">
            <v>WA2602STT1CM</v>
          </cell>
          <cell r="BW6452">
            <v>0</v>
          </cell>
        </row>
        <row r="6453">
          <cell r="L6453" t="str">
            <v>WA2602STT1NA</v>
          </cell>
          <cell r="BW6453">
            <v>0</v>
          </cell>
        </row>
        <row r="6454">
          <cell r="L6454" t="str">
            <v>WA2602STT1NA</v>
          </cell>
          <cell r="BW6454">
            <v>0</v>
          </cell>
        </row>
        <row r="6455">
          <cell r="L6455" t="str">
            <v>WA2602STT1NA</v>
          </cell>
          <cell r="BW6455">
            <v>0</v>
          </cell>
        </row>
        <row r="6456">
          <cell r="L6456" t="str">
            <v>WA2602STT1NA</v>
          </cell>
          <cell r="BW6456">
            <v>0</v>
          </cell>
        </row>
        <row r="6457">
          <cell r="L6457" t="str">
            <v>WA2602STT2BK</v>
          </cell>
          <cell r="BW6457">
            <v>0</v>
          </cell>
        </row>
        <row r="6458">
          <cell r="L6458" t="str">
            <v>WA2602STT2BK</v>
          </cell>
          <cell r="BW6458">
            <v>0</v>
          </cell>
        </row>
        <row r="6459">
          <cell r="L6459" t="str">
            <v>WA2602STT2BK</v>
          </cell>
          <cell r="BW6459">
            <v>0</v>
          </cell>
        </row>
        <row r="6460">
          <cell r="L6460" t="str">
            <v>WA2602STT2BK</v>
          </cell>
          <cell r="BW6460">
            <v>0</v>
          </cell>
        </row>
        <row r="6461">
          <cell r="L6461" t="str">
            <v>WA2602STT2WH</v>
          </cell>
          <cell r="BW6461">
            <v>0</v>
          </cell>
        </row>
        <row r="6462">
          <cell r="L6462" t="str">
            <v>WA2602STT2WH</v>
          </cell>
          <cell r="BW6462">
            <v>0</v>
          </cell>
        </row>
        <row r="6463">
          <cell r="L6463" t="str">
            <v>WA2602STT2WH</v>
          </cell>
          <cell r="BW6463">
            <v>0</v>
          </cell>
        </row>
        <row r="6464">
          <cell r="L6464" t="str">
            <v>WA2602STT2WH</v>
          </cell>
          <cell r="BW6464">
            <v>0</v>
          </cell>
        </row>
        <row r="6465">
          <cell r="L6465" t="str">
            <v>WA2602STT3WH</v>
          </cell>
          <cell r="BW6465">
            <v>0</v>
          </cell>
        </row>
        <row r="6466">
          <cell r="L6466" t="str">
            <v>WA2602STT3WH</v>
          </cell>
          <cell r="BW6466">
            <v>0</v>
          </cell>
        </row>
        <row r="6467">
          <cell r="L6467" t="str">
            <v>WA2602STT3WH</v>
          </cell>
          <cell r="BW6467">
            <v>0</v>
          </cell>
        </row>
        <row r="6468">
          <cell r="L6468" t="str">
            <v>WA2602STT3WH</v>
          </cell>
          <cell r="BW6468">
            <v>0</v>
          </cell>
        </row>
        <row r="6469">
          <cell r="L6469" t="str">
            <v>WA2602STT4BK</v>
          </cell>
          <cell r="BW6469">
            <v>0</v>
          </cell>
        </row>
        <row r="6470">
          <cell r="L6470" t="str">
            <v>WA2602STT4BK</v>
          </cell>
          <cell r="BW6470">
            <v>0</v>
          </cell>
        </row>
        <row r="6471">
          <cell r="L6471" t="str">
            <v>WA2602STT4BK</v>
          </cell>
          <cell r="BW6471">
            <v>0</v>
          </cell>
        </row>
        <row r="6472">
          <cell r="L6472" t="str">
            <v>WA2602STT4BK</v>
          </cell>
          <cell r="BW6472">
            <v>0</v>
          </cell>
        </row>
        <row r="6473">
          <cell r="L6473" t="str">
            <v>WA2602STT4WH</v>
          </cell>
          <cell r="BW6473">
            <v>0</v>
          </cell>
        </row>
        <row r="6474">
          <cell r="L6474" t="str">
            <v>WA2602STT4WH</v>
          </cell>
          <cell r="BW6474">
            <v>0</v>
          </cell>
        </row>
        <row r="6475">
          <cell r="L6475" t="str">
            <v>WA2602STT4WH</v>
          </cell>
          <cell r="BW6475">
            <v>0</v>
          </cell>
        </row>
        <row r="6476">
          <cell r="L6476" t="str">
            <v>WA2602STT4WH</v>
          </cell>
          <cell r="BW6476">
            <v>0</v>
          </cell>
        </row>
        <row r="6477">
          <cell r="L6477" t="str">
            <v>WA2602STT5LG</v>
          </cell>
          <cell r="BW6477">
            <v>0</v>
          </cell>
        </row>
        <row r="6478">
          <cell r="L6478" t="str">
            <v>WA2602STT5LG</v>
          </cell>
          <cell r="BW6478">
            <v>0</v>
          </cell>
        </row>
        <row r="6479">
          <cell r="L6479" t="str">
            <v>WA2602STT5LG</v>
          </cell>
          <cell r="BW6479">
            <v>0</v>
          </cell>
        </row>
        <row r="6480">
          <cell r="L6480" t="str">
            <v>WA2602STT5LG</v>
          </cell>
          <cell r="BW6480">
            <v>0</v>
          </cell>
        </row>
        <row r="6481">
          <cell r="L6481" t="str">
            <v>WA2602STT6BK</v>
          </cell>
          <cell r="BW6481">
            <v>0</v>
          </cell>
        </row>
        <row r="6482">
          <cell r="L6482" t="str">
            <v>WA2602STT6BK</v>
          </cell>
          <cell r="BW6482">
            <v>0</v>
          </cell>
        </row>
        <row r="6483">
          <cell r="L6483" t="str">
            <v>WA2602STT6BK</v>
          </cell>
          <cell r="BW6483">
            <v>0</v>
          </cell>
        </row>
        <row r="6484">
          <cell r="L6484" t="str">
            <v>WA2602STT6BK</v>
          </cell>
          <cell r="BW6484">
            <v>0</v>
          </cell>
        </row>
        <row r="6485">
          <cell r="L6485" t="str">
            <v>WA2602STT6WH</v>
          </cell>
          <cell r="BW6485">
            <v>0</v>
          </cell>
        </row>
        <row r="6486">
          <cell r="L6486" t="str">
            <v>WA2602STT6WH</v>
          </cell>
          <cell r="BW6486">
            <v>0</v>
          </cell>
        </row>
        <row r="6487">
          <cell r="L6487" t="str">
            <v>WA2602STT6WH</v>
          </cell>
          <cell r="BW6487">
            <v>0</v>
          </cell>
        </row>
        <row r="6488">
          <cell r="L6488" t="str">
            <v>WA2602STT6WH</v>
          </cell>
          <cell r="BW6488">
            <v>0</v>
          </cell>
        </row>
        <row r="6489">
          <cell r="L6489" t="str">
            <v>WA2602STW1BE</v>
          </cell>
          <cell r="BW6489">
            <v>-4</v>
          </cell>
        </row>
        <row r="6490">
          <cell r="L6490" t="str">
            <v>WA2602STW1BE</v>
          </cell>
          <cell r="BW6490">
            <v>0</v>
          </cell>
        </row>
        <row r="6491">
          <cell r="L6491" t="str">
            <v>WA2602STW1CH</v>
          </cell>
          <cell r="BW6491">
            <v>-3</v>
          </cell>
        </row>
        <row r="6492">
          <cell r="L6492" t="str">
            <v>WA2602STW1CH</v>
          </cell>
          <cell r="BW6492">
            <v>-8</v>
          </cell>
        </row>
        <row r="6493">
          <cell r="L6493" t="str">
            <v>WA2602STW2BK</v>
          </cell>
          <cell r="BW6493">
            <v>-6</v>
          </cell>
        </row>
        <row r="6494">
          <cell r="L6494" t="str">
            <v>WA2602STW2CH</v>
          </cell>
          <cell r="BW6494">
            <v>-1</v>
          </cell>
        </row>
        <row r="6495">
          <cell r="L6495" t="str">
            <v>WA2602STW3CH</v>
          </cell>
          <cell r="BW6495">
            <v>-2</v>
          </cell>
        </row>
        <row r="6496">
          <cell r="L6496" t="str">
            <v>WA2602STW3WH</v>
          </cell>
          <cell r="BW6496">
            <v>-2</v>
          </cell>
        </row>
        <row r="6497">
          <cell r="L6497" t="str">
            <v>WA2603BG51BR</v>
          </cell>
          <cell r="BW6497">
            <v>0</v>
          </cell>
        </row>
        <row r="6498">
          <cell r="L6498" t="str">
            <v>WA2603BG51GN</v>
          </cell>
          <cell r="BW6498">
            <v>0</v>
          </cell>
        </row>
        <row r="6499">
          <cell r="L6499" t="str">
            <v>WA2603BG52BK</v>
          </cell>
          <cell r="BW6499">
            <v>0</v>
          </cell>
        </row>
        <row r="6500">
          <cell r="L6500" t="str">
            <v>WA2603BG52SB</v>
          </cell>
          <cell r="BW6500">
            <v>0</v>
          </cell>
        </row>
        <row r="6501">
          <cell r="L6501" t="str">
            <v>WA2603BG53BK</v>
          </cell>
          <cell r="BW6501">
            <v>0</v>
          </cell>
        </row>
        <row r="6502">
          <cell r="L6502" t="str">
            <v>WA2603BG53BL</v>
          </cell>
          <cell r="BW6502">
            <v>0</v>
          </cell>
        </row>
        <row r="6503">
          <cell r="L6503" t="str">
            <v>WA2603BG54BR</v>
          </cell>
          <cell r="BW6503">
            <v>0</v>
          </cell>
        </row>
        <row r="6504">
          <cell r="L6504" t="str">
            <v>WA2603BG54CH</v>
          </cell>
          <cell r="BW6504">
            <v>0</v>
          </cell>
        </row>
        <row r="6505">
          <cell r="L6505" t="str">
            <v>WA2603BG55BR</v>
          </cell>
          <cell r="BW6505">
            <v>0</v>
          </cell>
        </row>
        <row r="6506">
          <cell r="L6506" t="str">
            <v>WA2603BG55CM</v>
          </cell>
          <cell r="BW6506">
            <v>0</v>
          </cell>
        </row>
        <row r="6507">
          <cell r="L6507" t="str">
            <v>WA2603BG56BK</v>
          </cell>
          <cell r="BW6507">
            <v>0</v>
          </cell>
        </row>
        <row r="6508">
          <cell r="L6508" t="str">
            <v>WA2603BG56IN</v>
          </cell>
          <cell r="BW6508">
            <v>0</v>
          </cell>
        </row>
        <row r="6509">
          <cell r="L6509" t="str">
            <v>WA2603BG57BK</v>
          </cell>
          <cell r="BW6509">
            <v>0</v>
          </cell>
        </row>
        <row r="6510">
          <cell r="L6510" t="str">
            <v>WA2603BG57IN</v>
          </cell>
          <cell r="BW6510">
            <v>0</v>
          </cell>
        </row>
        <row r="6511">
          <cell r="L6511" t="str">
            <v>WA2603BP01BK</v>
          </cell>
          <cell r="BW6511">
            <v>0</v>
          </cell>
        </row>
        <row r="6512">
          <cell r="L6512" t="str">
            <v>WA2603BP51BR</v>
          </cell>
          <cell r="BW6512">
            <v>0</v>
          </cell>
        </row>
        <row r="6513">
          <cell r="L6513" t="str">
            <v>WA2603BP51GN</v>
          </cell>
          <cell r="BW6513">
            <v>0</v>
          </cell>
        </row>
        <row r="6514">
          <cell r="L6514" t="str">
            <v>WA2603BP52BK</v>
          </cell>
          <cell r="BW6514">
            <v>0</v>
          </cell>
        </row>
        <row r="6515">
          <cell r="L6515" t="str">
            <v>WA2603BP52BR</v>
          </cell>
          <cell r="BW6515">
            <v>0</v>
          </cell>
        </row>
        <row r="6516">
          <cell r="L6516" t="str">
            <v>WA2603BP52PU</v>
          </cell>
          <cell r="BW6516">
            <v>0</v>
          </cell>
        </row>
        <row r="6517">
          <cell r="L6517" t="str">
            <v>WA2603CA01BL</v>
          </cell>
          <cell r="BW6517">
            <v>0</v>
          </cell>
        </row>
        <row r="6518">
          <cell r="L6518" t="str">
            <v>WA2603CA01GR</v>
          </cell>
          <cell r="BW6518">
            <v>0</v>
          </cell>
        </row>
        <row r="6519">
          <cell r="L6519" t="str">
            <v>WA2603CA01YE</v>
          </cell>
          <cell r="BW6519">
            <v>0</v>
          </cell>
        </row>
        <row r="6520">
          <cell r="L6520" t="str">
            <v>WA2603CA02BE</v>
          </cell>
          <cell r="BW6520">
            <v>0</v>
          </cell>
        </row>
        <row r="6521">
          <cell r="L6521" t="str">
            <v>WA2603CA02BR</v>
          </cell>
          <cell r="BW6521">
            <v>0</v>
          </cell>
        </row>
        <row r="6522">
          <cell r="L6522" t="str">
            <v>WA2603CA02NA</v>
          </cell>
          <cell r="BW6522">
            <v>0</v>
          </cell>
        </row>
        <row r="6523">
          <cell r="L6523" t="str">
            <v>WA2603CA03BK</v>
          </cell>
          <cell r="BW6523">
            <v>0</v>
          </cell>
        </row>
        <row r="6524">
          <cell r="L6524" t="str">
            <v>WA2603CA03BR</v>
          </cell>
          <cell r="BW6524">
            <v>0</v>
          </cell>
        </row>
        <row r="6525">
          <cell r="L6525" t="str">
            <v>WA2603CA03GR</v>
          </cell>
          <cell r="BW6525">
            <v>0</v>
          </cell>
        </row>
        <row r="6526">
          <cell r="L6526" t="str">
            <v>WA2603CA04BK</v>
          </cell>
          <cell r="BW6526">
            <v>0</v>
          </cell>
        </row>
        <row r="6527">
          <cell r="L6527" t="str">
            <v>WA2603CA04BR</v>
          </cell>
          <cell r="BW6527">
            <v>0</v>
          </cell>
        </row>
        <row r="6528">
          <cell r="L6528" t="str">
            <v>WA2603CA05BK</v>
          </cell>
          <cell r="BW6528">
            <v>0</v>
          </cell>
        </row>
        <row r="6529">
          <cell r="L6529" t="str">
            <v>WA2603CA05NA</v>
          </cell>
          <cell r="BW6529">
            <v>0</v>
          </cell>
        </row>
        <row r="6530">
          <cell r="L6530" t="str">
            <v>WA2603CA06NA</v>
          </cell>
          <cell r="BW6530">
            <v>0</v>
          </cell>
        </row>
        <row r="6531">
          <cell r="L6531" t="str">
            <v>WA2603CA06PI</v>
          </cell>
          <cell r="BW6531">
            <v>0</v>
          </cell>
        </row>
        <row r="6532">
          <cell r="L6532" t="str">
            <v>WA2603CA08BK</v>
          </cell>
          <cell r="BW6532">
            <v>0</v>
          </cell>
        </row>
        <row r="6533">
          <cell r="L6533" t="str">
            <v>WA2603CA08BR</v>
          </cell>
          <cell r="BW6533">
            <v>0</v>
          </cell>
        </row>
        <row r="6534">
          <cell r="L6534" t="str">
            <v>WA2603CA09NA</v>
          </cell>
          <cell r="BW6534">
            <v>0</v>
          </cell>
        </row>
        <row r="6535">
          <cell r="L6535" t="str">
            <v>WA2603CA10BR</v>
          </cell>
          <cell r="BW6535">
            <v>0</v>
          </cell>
        </row>
        <row r="6536">
          <cell r="L6536" t="str">
            <v>WA2603CA12BR</v>
          </cell>
          <cell r="BW6536">
            <v>0</v>
          </cell>
        </row>
        <row r="6537">
          <cell r="L6537" t="str">
            <v>WA2603CA12GR</v>
          </cell>
          <cell r="BW6537">
            <v>0</v>
          </cell>
        </row>
        <row r="6538">
          <cell r="L6538" t="str">
            <v>WA2603CA12NA</v>
          </cell>
          <cell r="BW6538">
            <v>0</v>
          </cell>
        </row>
        <row r="6539">
          <cell r="L6539" t="str">
            <v>WA2603CA13NA</v>
          </cell>
          <cell r="BW6539">
            <v>0</v>
          </cell>
        </row>
        <row r="6540">
          <cell r="L6540" t="str">
            <v>WA2603CA14GN</v>
          </cell>
          <cell r="BW6540">
            <v>0</v>
          </cell>
        </row>
        <row r="6541">
          <cell r="L6541" t="str">
            <v>WA2603CA14NA</v>
          </cell>
          <cell r="BW6541">
            <v>0</v>
          </cell>
        </row>
        <row r="6542">
          <cell r="L6542" t="str">
            <v>WA2603CA15BK</v>
          </cell>
          <cell r="BW6542">
            <v>0</v>
          </cell>
        </row>
        <row r="6543">
          <cell r="L6543" t="str">
            <v>WA2603CA15BL</v>
          </cell>
          <cell r="BW6543">
            <v>0</v>
          </cell>
        </row>
        <row r="6544">
          <cell r="L6544" t="str">
            <v>WA2603CA15GR</v>
          </cell>
          <cell r="BW6544">
            <v>0</v>
          </cell>
        </row>
        <row r="6545">
          <cell r="L6545" t="str">
            <v>WA2603CA16CH</v>
          </cell>
          <cell r="BW6545">
            <v>0</v>
          </cell>
        </row>
        <row r="6546">
          <cell r="L6546" t="str">
            <v>WA2603CA17BR</v>
          </cell>
          <cell r="BW6546">
            <v>0</v>
          </cell>
        </row>
        <row r="6547">
          <cell r="L6547" t="str">
            <v>WA2603CA51PI</v>
          </cell>
          <cell r="BW6547">
            <v>0</v>
          </cell>
        </row>
        <row r="6548">
          <cell r="L6548" t="str">
            <v>WA2603CA52BR</v>
          </cell>
          <cell r="BW6548">
            <v>0</v>
          </cell>
        </row>
        <row r="6549">
          <cell r="L6549" t="str">
            <v>WA2603CA52NA</v>
          </cell>
          <cell r="BW6549">
            <v>0</v>
          </cell>
        </row>
        <row r="6550">
          <cell r="L6550" t="str">
            <v>WA2603CA53GR</v>
          </cell>
          <cell r="BW6550">
            <v>0</v>
          </cell>
        </row>
        <row r="6551">
          <cell r="L6551" t="str">
            <v>WA2603CA54GR</v>
          </cell>
          <cell r="BW6551">
            <v>0</v>
          </cell>
        </row>
        <row r="6552">
          <cell r="L6552" t="str">
            <v>WA2603CB01BK</v>
          </cell>
          <cell r="BW6552">
            <v>0</v>
          </cell>
        </row>
        <row r="6553">
          <cell r="L6553" t="str">
            <v>WA2603CB02BK</v>
          </cell>
          <cell r="BW6553">
            <v>0</v>
          </cell>
        </row>
        <row r="6554">
          <cell r="L6554" t="str">
            <v>WA2603CB03BK</v>
          </cell>
          <cell r="BW6554">
            <v>0</v>
          </cell>
        </row>
        <row r="6555">
          <cell r="L6555" t="str">
            <v>WA2603CB03MU</v>
          </cell>
          <cell r="BW6555">
            <v>0</v>
          </cell>
        </row>
        <row r="6556">
          <cell r="L6556" t="str">
            <v>WA2603CD12GR</v>
          </cell>
          <cell r="BW6556">
            <v>0</v>
          </cell>
        </row>
        <row r="6557">
          <cell r="L6557" t="str">
            <v>WA2603CD12GR</v>
          </cell>
          <cell r="BW6557">
            <v>0</v>
          </cell>
        </row>
        <row r="6558">
          <cell r="L6558" t="str">
            <v>WA2603CD12GR</v>
          </cell>
          <cell r="BW6558">
            <v>0</v>
          </cell>
        </row>
        <row r="6559">
          <cell r="L6559" t="str">
            <v>WA2603CD12GR</v>
          </cell>
          <cell r="BW6559">
            <v>0</v>
          </cell>
        </row>
        <row r="6560">
          <cell r="L6560" t="str">
            <v>WA2603CD12LY</v>
          </cell>
          <cell r="BW6560">
            <v>0</v>
          </cell>
        </row>
        <row r="6561">
          <cell r="L6561" t="str">
            <v>WA2603CD12LY</v>
          </cell>
          <cell r="BW6561">
            <v>0</v>
          </cell>
        </row>
        <row r="6562">
          <cell r="L6562" t="str">
            <v>WA2603CD12LY</v>
          </cell>
          <cell r="BW6562">
            <v>0</v>
          </cell>
        </row>
        <row r="6563">
          <cell r="L6563" t="str">
            <v>WA2603CD12LY</v>
          </cell>
          <cell r="BW6563">
            <v>0</v>
          </cell>
        </row>
        <row r="6564">
          <cell r="L6564" t="str">
            <v>WA2603CD12RD</v>
          </cell>
          <cell r="BW6564">
            <v>0</v>
          </cell>
        </row>
        <row r="6565">
          <cell r="L6565" t="str">
            <v>WA2603CD12RD</v>
          </cell>
          <cell r="BW6565">
            <v>0</v>
          </cell>
        </row>
        <row r="6566">
          <cell r="L6566" t="str">
            <v>WA2603CD12RD</v>
          </cell>
          <cell r="BW6566">
            <v>0</v>
          </cell>
        </row>
        <row r="6567">
          <cell r="L6567" t="str">
            <v>WA2603CD13PU</v>
          </cell>
          <cell r="BW6567">
            <v>0</v>
          </cell>
        </row>
        <row r="6568">
          <cell r="L6568" t="str">
            <v>WA2603CD13PU</v>
          </cell>
          <cell r="BW6568">
            <v>0</v>
          </cell>
        </row>
        <row r="6569">
          <cell r="L6569" t="str">
            <v>WA2603CD13PU</v>
          </cell>
          <cell r="BW6569">
            <v>0</v>
          </cell>
        </row>
        <row r="6570">
          <cell r="L6570" t="str">
            <v>WA2603CD14CM</v>
          </cell>
          <cell r="BW6570">
            <v>0</v>
          </cell>
        </row>
        <row r="6571">
          <cell r="L6571" t="str">
            <v>WA2603CD14CM</v>
          </cell>
          <cell r="BW6571">
            <v>0</v>
          </cell>
        </row>
        <row r="6572">
          <cell r="L6572" t="str">
            <v>WA2603CD14CM</v>
          </cell>
          <cell r="BW6572">
            <v>0</v>
          </cell>
        </row>
        <row r="6573">
          <cell r="L6573" t="str">
            <v>WA2603CD14CM</v>
          </cell>
          <cell r="BW6573">
            <v>0</v>
          </cell>
        </row>
        <row r="6574">
          <cell r="L6574" t="str">
            <v>WA2603CD14GR</v>
          </cell>
          <cell r="BW6574">
            <v>0</v>
          </cell>
        </row>
        <row r="6575">
          <cell r="L6575" t="str">
            <v>WA2603CD14GR</v>
          </cell>
          <cell r="BW6575">
            <v>0</v>
          </cell>
        </row>
        <row r="6576">
          <cell r="L6576" t="str">
            <v>WA2603CD14GR</v>
          </cell>
          <cell r="BW6576">
            <v>0</v>
          </cell>
        </row>
        <row r="6577">
          <cell r="L6577" t="str">
            <v>WA2603CD14GR</v>
          </cell>
          <cell r="BW6577">
            <v>0</v>
          </cell>
        </row>
        <row r="6578">
          <cell r="L6578" t="str">
            <v>WA2603CD51BK</v>
          </cell>
          <cell r="BW6578">
            <v>0</v>
          </cell>
        </row>
        <row r="6579">
          <cell r="L6579" t="str">
            <v>WA2603CD51BK</v>
          </cell>
          <cell r="BW6579">
            <v>0</v>
          </cell>
        </row>
        <row r="6580">
          <cell r="L6580" t="str">
            <v>WA2603CD51BK</v>
          </cell>
          <cell r="BW6580">
            <v>0</v>
          </cell>
        </row>
        <row r="6581">
          <cell r="L6581" t="str">
            <v>WA2603CD51CM</v>
          </cell>
          <cell r="BW6581">
            <v>0</v>
          </cell>
        </row>
        <row r="6582">
          <cell r="L6582" t="str">
            <v>WA2603CD51CM</v>
          </cell>
          <cell r="BW6582">
            <v>0</v>
          </cell>
        </row>
        <row r="6583">
          <cell r="L6583" t="str">
            <v>WA2603CD51CM</v>
          </cell>
          <cell r="BW6583">
            <v>0</v>
          </cell>
        </row>
        <row r="6584">
          <cell r="L6584" t="str">
            <v>WA2603CD51GR</v>
          </cell>
          <cell r="BW6584">
            <v>0</v>
          </cell>
        </row>
        <row r="6585">
          <cell r="L6585" t="str">
            <v>WA2603CD51GR</v>
          </cell>
          <cell r="BW6585">
            <v>0</v>
          </cell>
        </row>
        <row r="6586">
          <cell r="L6586" t="str">
            <v>WA2603CD51GR</v>
          </cell>
          <cell r="BW6586">
            <v>0</v>
          </cell>
        </row>
        <row r="6587">
          <cell r="L6587" t="str">
            <v>WA2603CD51OL</v>
          </cell>
          <cell r="BW6587">
            <v>0</v>
          </cell>
        </row>
        <row r="6588">
          <cell r="L6588" t="str">
            <v>WA2603CD51OL</v>
          </cell>
          <cell r="BW6588">
            <v>0</v>
          </cell>
        </row>
        <row r="6589">
          <cell r="L6589" t="str">
            <v>WA2603CD51OL</v>
          </cell>
          <cell r="BW6589">
            <v>0</v>
          </cell>
        </row>
        <row r="6590">
          <cell r="L6590" t="str">
            <v>WA2603CD52LY</v>
          </cell>
          <cell r="BW6590">
            <v>0</v>
          </cell>
        </row>
        <row r="6591">
          <cell r="L6591" t="str">
            <v>WA2603CD52LY</v>
          </cell>
          <cell r="BW6591">
            <v>0</v>
          </cell>
        </row>
        <row r="6592">
          <cell r="L6592" t="str">
            <v>WA2603CD52NA</v>
          </cell>
          <cell r="BW6592">
            <v>0</v>
          </cell>
        </row>
        <row r="6593">
          <cell r="L6593" t="str">
            <v>WA2603CD52NA</v>
          </cell>
          <cell r="BW6593">
            <v>0</v>
          </cell>
        </row>
        <row r="6594">
          <cell r="L6594" t="str">
            <v>WA2603CD52NA</v>
          </cell>
          <cell r="BW6594">
            <v>0</v>
          </cell>
        </row>
        <row r="6595">
          <cell r="L6595" t="str">
            <v>WA2603CD52OT</v>
          </cell>
          <cell r="BW6595">
            <v>0</v>
          </cell>
        </row>
        <row r="6596">
          <cell r="L6596" t="str">
            <v>WA2603CD52OT</v>
          </cell>
          <cell r="BW6596">
            <v>0</v>
          </cell>
        </row>
        <row r="6597">
          <cell r="L6597" t="str">
            <v>WA2603CD52OT</v>
          </cell>
          <cell r="BW6597">
            <v>0</v>
          </cell>
        </row>
        <row r="6598">
          <cell r="L6598" t="str">
            <v>WA2603CD52TC</v>
          </cell>
          <cell r="BW6598">
            <v>0</v>
          </cell>
        </row>
        <row r="6599">
          <cell r="L6599" t="str">
            <v>WA2603CD52TC</v>
          </cell>
          <cell r="BW6599">
            <v>0</v>
          </cell>
        </row>
        <row r="6600">
          <cell r="L6600" t="str">
            <v>WA2603CD53GR</v>
          </cell>
          <cell r="BW6600">
            <v>0</v>
          </cell>
        </row>
        <row r="6601">
          <cell r="L6601" t="str">
            <v>WA2603CD53GR</v>
          </cell>
          <cell r="BW6601">
            <v>0</v>
          </cell>
        </row>
        <row r="6602">
          <cell r="L6602" t="str">
            <v>WA2603CD53GR</v>
          </cell>
          <cell r="BW6602">
            <v>0</v>
          </cell>
        </row>
        <row r="6603">
          <cell r="L6603" t="str">
            <v>WA2603CD53NA</v>
          </cell>
          <cell r="BW6603">
            <v>0</v>
          </cell>
        </row>
        <row r="6604">
          <cell r="L6604" t="str">
            <v>WA2603CD53NA</v>
          </cell>
          <cell r="BW6604">
            <v>0</v>
          </cell>
        </row>
        <row r="6605">
          <cell r="L6605" t="str">
            <v>WA2603CD53NA</v>
          </cell>
          <cell r="BW6605">
            <v>0</v>
          </cell>
        </row>
        <row r="6606">
          <cell r="L6606" t="str">
            <v>WA2603CD53RD</v>
          </cell>
          <cell r="BW6606">
            <v>0</v>
          </cell>
        </row>
        <row r="6607">
          <cell r="L6607" t="str">
            <v>WA2603CD53RD</v>
          </cell>
          <cell r="BW6607">
            <v>0</v>
          </cell>
        </row>
        <row r="6608">
          <cell r="L6608" t="str">
            <v>WA2603CD53RD</v>
          </cell>
          <cell r="BW6608">
            <v>0</v>
          </cell>
        </row>
        <row r="6609">
          <cell r="L6609" t="str">
            <v>WA2603CD53SB</v>
          </cell>
          <cell r="BW6609">
            <v>0</v>
          </cell>
        </row>
        <row r="6610">
          <cell r="L6610" t="str">
            <v>WA2603CD53SB</v>
          </cell>
          <cell r="BW6610">
            <v>0</v>
          </cell>
        </row>
        <row r="6611">
          <cell r="L6611" t="str">
            <v>WA2603CD53SB</v>
          </cell>
          <cell r="BW6611">
            <v>0</v>
          </cell>
        </row>
        <row r="6612">
          <cell r="L6612" t="str">
            <v>WA2603CD54GR</v>
          </cell>
          <cell r="BW6612">
            <v>0</v>
          </cell>
        </row>
        <row r="6613">
          <cell r="L6613" t="str">
            <v>WA2603CD54GR</v>
          </cell>
          <cell r="BW6613">
            <v>0</v>
          </cell>
        </row>
        <row r="6614">
          <cell r="L6614" t="str">
            <v>WA2603CD55IV</v>
          </cell>
          <cell r="BW6614">
            <v>0</v>
          </cell>
        </row>
        <row r="6615">
          <cell r="L6615" t="str">
            <v>WA2603CD55IV</v>
          </cell>
          <cell r="BW6615">
            <v>0</v>
          </cell>
        </row>
        <row r="6616">
          <cell r="L6616" t="str">
            <v>WA2603CD55SB</v>
          </cell>
          <cell r="BW6616">
            <v>0</v>
          </cell>
        </row>
        <row r="6617">
          <cell r="L6617" t="str">
            <v>WA2603CD55SB</v>
          </cell>
          <cell r="BW6617">
            <v>0</v>
          </cell>
        </row>
        <row r="6618">
          <cell r="L6618" t="str">
            <v>WA2603CD56PI</v>
          </cell>
          <cell r="BW6618">
            <v>0</v>
          </cell>
        </row>
        <row r="6619">
          <cell r="L6619" t="str">
            <v>WA2603CD56PI</v>
          </cell>
          <cell r="BW6619">
            <v>0</v>
          </cell>
        </row>
        <row r="6620">
          <cell r="L6620" t="str">
            <v>WA2603CD61BR</v>
          </cell>
          <cell r="BW6620">
            <v>0</v>
          </cell>
        </row>
        <row r="6621">
          <cell r="L6621" t="str">
            <v>WA2603CD61BR</v>
          </cell>
          <cell r="BW6621">
            <v>0</v>
          </cell>
        </row>
        <row r="6622">
          <cell r="L6622" t="str">
            <v>WA2603CD61CM</v>
          </cell>
          <cell r="BW6622">
            <v>0</v>
          </cell>
        </row>
        <row r="6623">
          <cell r="L6623" t="str">
            <v>WA2603CD61CM</v>
          </cell>
          <cell r="BW6623">
            <v>0</v>
          </cell>
        </row>
        <row r="6624">
          <cell r="L6624" t="str">
            <v>WA2603CD62DN</v>
          </cell>
          <cell r="BW6624">
            <v>0</v>
          </cell>
        </row>
        <row r="6625">
          <cell r="L6625" t="str">
            <v>WA2603CD62DN</v>
          </cell>
          <cell r="BW6625">
            <v>0</v>
          </cell>
        </row>
        <row r="6626">
          <cell r="L6626" t="str">
            <v>WA2603CD62MU</v>
          </cell>
          <cell r="BW6626">
            <v>0</v>
          </cell>
        </row>
        <row r="6627">
          <cell r="L6627" t="str">
            <v>WA2603CD62MU</v>
          </cell>
          <cell r="BW6627">
            <v>0</v>
          </cell>
        </row>
        <row r="6628">
          <cell r="L6628" t="str">
            <v>WA2603CD63CM</v>
          </cell>
          <cell r="BW6628">
            <v>0</v>
          </cell>
        </row>
        <row r="6629">
          <cell r="L6629" t="str">
            <v>WA2603CD63CM</v>
          </cell>
          <cell r="BW6629">
            <v>0</v>
          </cell>
        </row>
        <row r="6630">
          <cell r="L6630" t="str">
            <v>WA2603CD63LP</v>
          </cell>
          <cell r="BW6630">
            <v>0</v>
          </cell>
        </row>
        <row r="6631">
          <cell r="L6631" t="str">
            <v>WA2603CD63LP</v>
          </cell>
          <cell r="BW6631">
            <v>0</v>
          </cell>
        </row>
        <row r="6632">
          <cell r="L6632" t="str">
            <v>WA2603CD64LV</v>
          </cell>
          <cell r="BW6632">
            <v>0</v>
          </cell>
        </row>
        <row r="6633">
          <cell r="L6633" t="str">
            <v>WA2603CD64LV</v>
          </cell>
          <cell r="BW6633">
            <v>0</v>
          </cell>
        </row>
        <row r="6634">
          <cell r="L6634" t="str">
            <v>WA2603CD64LY</v>
          </cell>
          <cell r="BW6634">
            <v>0</v>
          </cell>
        </row>
        <row r="6635">
          <cell r="L6635" t="str">
            <v>WA2603CD64LY</v>
          </cell>
          <cell r="BW6635">
            <v>0</v>
          </cell>
        </row>
        <row r="6636">
          <cell r="L6636" t="str">
            <v>WA2603CD65CM</v>
          </cell>
          <cell r="BW6636">
            <v>0</v>
          </cell>
        </row>
        <row r="6637">
          <cell r="L6637" t="str">
            <v>WA2603CD65CM</v>
          </cell>
          <cell r="BW6637">
            <v>0</v>
          </cell>
        </row>
        <row r="6638">
          <cell r="L6638" t="str">
            <v>WA2603CD65DN</v>
          </cell>
          <cell r="BW6638">
            <v>0</v>
          </cell>
        </row>
        <row r="6639">
          <cell r="L6639" t="str">
            <v>WA2603CD65DN</v>
          </cell>
          <cell r="BW6639">
            <v>0</v>
          </cell>
        </row>
        <row r="6640">
          <cell r="L6640" t="str">
            <v>WA2603CR12GR</v>
          </cell>
          <cell r="BW6640">
            <v>0</v>
          </cell>
        </row>
        <row r="6641">
          <cell r="L6641" t="str">
            <v>WA2603CR12GR</v>
          </cell>
          <cell r="BW6641">
            <v>0</v>
          </cell>
        </row>
        <row r="6642">
          <cell r="L6642" t="str">
            <v>WA2603CR12GR</v>
          </cell>
          <cell r="BW6642">
            <v>0</v>
          </cell>
        </row>
        <row r="6643">
          <cell r="L6643" t="str">
            <v>WA2603CR12GR</v>
          </cell>
          <cell r="BW6643">
            <v>0</v>
          </cell>
        </row>
        <row r="6644">
          <cell r="L6644" t="str">
            <v>WA2603CR12NA</v>
          </cell>
          <cell r="BW6644">
            <v>0</v>
          </cell>
        </row>
        <row r="6645">
          <cell r="L6645" t="str">
            <v>WA2603CR12NA</v>
          </cell>
          <cell r="BW6645">
            <v>0</v>
          </cell>
        </row>
        <row r="6646">
          <cell r="L6646" t="str">
            <v>WA2603CR12NA</v>
          </cell>
          <cell r="BW6646">
            <v>0</v>
          </cell>
        </row>
        <row r="6647">
          <cell r="L6647" t="str">
            <v>WA2603CR12NA</v>
          </cell>
          <cell r="BW6647">
            <v>0</v>
          </cell>
        </row>
        <row r="6648">
          <cell r="L6648" t="str">
            <v>WA2603CR13CH</v>
          </cell>
          <cell r="BW6648">
            <v>0</v>
          </cell>
        </row>
        <row r="6649">
          <cell r="L6649" t="str">
            <v>WA2603CR13CH</v>
          </cell>
          <cell r="BW6649">
            <v>0</v>
          </cell>
        </row>
        <row r="6650">
          <cell r="L6650" t="str">
            <v>WA2603CR13CH</v>
          </cell>
          <cell r="BW6650">
            <v>0</v>
          </cell>
        </row>
        <row r="6651">
          <cell r="L6651" t="str">
            <v>WA2603CR13CH</v>
          </cell>
          <cell r="BW6651">
            <v>0</v>
          </cell>
        </row>
        <row r="6652">
          <cell r="L6652" t="str">
            <v>WA2603CR13IV</v>
          </cell>
          <cell r="BW6652">
            <v>0</v>
          </cell>
        </row>
        <row r="6653">
          <cell r="L6653" t="str">
            <v>WA2603CR13IV</v>
          </cell>
          <cell r="BW6653">
            <v>0</v>
          </cell>
        </row>
        <row r="6654">
          <cell r="L6654" t="str">
            <v>WA2603CR13IV</v>
          </cell>
          <cell r="BW6654">
            <v>0</v>
          </cell>
        </row>
        <row r="6655">
          <cell r="L6655" t="str">
            <v>WA2603CR13IV</v>
          </cell>
          <cell r="BW6655">
            <v>0</v>
          </cell>
        </row>
        <row r="6656">
          <cell r="L6656" t="str">
            <v>WA2603CR14CM</v>
          </cell>
          <cell r="BW6656">
            <v>0</v>
          </cell>
        </row>
        <row r="6657">
          <cell r="L6657" t="str">
            <v>WA2603CR14CM</v>
          </cell>
          <cell r="BW6657">
            <v>0</v>
          </cell>
        </row>
        <row r="6658">
          <cell r="L6658" t="str">
            <v>WA2603CR14CM</v>
          </cell>
          <cell r="BW6658">
            <v>0</v>
          </cell>
        </row>
        <row r="6659">
          <cell r="L6659" t="str">
            <v>WA2603CR14CM</v>
          </cell>
          <cell r="BW6659">
            <v>0</v>
          </cell>
        </row>
        <row r="6660">
          <cell r="L6660" t="str">
            <v>WA2603CR14NA</v>
          </cell>
          <cell r="BW6660">
            <v>0</v>
          </cell>
        </row>
        <row r="6661">
          <cell r="L6661" t="str">
            <v>WA2603CR14NA</v>
          </cell>
          <cell r="BW6661">
            <v>0</v>
          </cell>
        </row>
        <row r="6662">
          <cell r="L6662" t="str">
            <v>WA2603CR14NA</v>
          </cell>
          <cell r="BW6662">
            <v>0</v>
          </cell>
        </row>
        <row r="6663">
          <cell r="L6663" t="str">
            <v>WA2603CR14NA</v>
          </cell>
          <cell r="BW6663">
            <v>0</v>
          </cell>
        </row>
        <row r="6664">
          <cell r="L6664" t="str">
            <v>WA2603CR15LG</v>
          </cell>
          <cell r="BW6664">
            <v>0</v>
          </cell>
        </row>
        <row r="6665">
          <cell r="L6665" t="str">
            <v>WA2603CR15LG</v>
          </cell>
          <cell r="BW6665">
            <v>0</v>
          </cell>
        </row>
        <row r="6666">
          <cell r="L6666" t="str">
            <v>WA2603CR15LG</v>
          </cell>
          <cell r="BW6666">
            <v>0</v>
          </cell>
        </row>
        <row r="6667">
          <cell r="L6667" t="str">
            <v>WA2603CR15LG</v>
          </cell>
          <cell r="BW6667">
            <v>0</v>
          </cell>
        </row>
        <row r="6668">
          <cell r="L6668" t="str">
            <v>WA2603CR15PI</v>
          </cell>
          <cell r="BW6668">
            <v>0</v>
          </cell>
        </row>
        <row r="6669">
          <cell r="L6669" t="str">
            <v>WA2603CR15PI</v>
          </cell>
          <cell r="BW6669">
            <v>0</v>
          </cell>
        </row>
        <row r="6670">
          <cell r="L6670" t="str">
            <v>WA2603CR15PI</v>
          </cell>
          <cell r="BW6670">
            <v>0</v>
          </cell>
        </row>
        <row r="6671">
          <cell r="L6671" t="str">
            <v>WA2603CR15PI</v>
          </cell>
          <cell r="BW6671">
            <v>0</v>
          </cell>
        </row>
        <row r="6672">
          <cell r="L6672" t="str">
            <v>WA2603CR16TC</v>
          </cell>
          <cell r="BW6672">
            <v>0</v>
          </cell>
        </row>
        <row r="6673">
          <cell r="L6673" t="str">
            <v>WA2603CR16TC</v>
          </cell>
          <cell r="BW6673">
            <v>0</v>
          </cell>
        </row>
        <row r="6674">
          <cell r="L6674" t="str">
            <v>WA2603CR16TC</v>
          </cell>
          <cell r="BW6674">
            <v>0</v>
          </cell>
        </row>
        <row r="6675">
          <cell r="L6675" t="str">
            <v>WA2603CR51LG</v>
          </cell>
          <cell r="BW6675">
            <v>0</v>
          </cell>
        </row>
        <row r="6676">
          <cell r="L6676" t="str">
            <v>WA2603CR51LG</v>
          </cell>
          <cell r="BW6676">
            <v>0</v>
          </cell>
        </row>
        <row r="6677">
          <cell r="L6677" t="str">
            <v>WA2603CR51NA</v>
          </cell>
          <cell r="BW6677">
            <v>0</v>
          </cell>
        </row>
        <row r="6678">
          <cell r="L6678" t="str">
            <v>WA2603CR51NA</v>
          </cell>
          <cell r="BW6678">
            <v>0</v>
          </cell>
        </row>
        <row r="6679">
          <cell r="L6679" t="str">
            <v>WA2603CR61BR</v>
          </cell>
          <cell r="BW6679">
            <v>0</v>
          </cell>
        </row>
        <row r="6680">
          <cell r="L6680" t="str">
            <v>WA2603CR61BR</v>
          </cell>
          <cell r="BW6680">
            <v>0</v>
          </cell>
        </row>
        <row r="6681">
          <cell r="L6681" t="str">
            <v>WA2603CR61CM</v>
          </cell>
          <cell r="BW6681">
            <v>0</v>
          </cell>
        </row>
        <row r="6682">
          <cell r="L6682" t="str">
            <v>WA2603CR61CM</v>
          </cell>
          <cell r="BW6682">
            <v>0</v>
          </cell>
        </row>
        <row r="6683">
          <cell r="L6683" t="str">
            <v>WA2603CR62BR</v>
          </cell>
          <cell r="BW6683">
            <v>0</v>
          </cell>
        </row>
        <row r="6684">
          <cell r="L6684" t="str">
            <v>WA2603CR62BR</v>
          </cell>
          <cell r="BW6684">
            <v>0</v>
          </cell>
        </row>
        <row r="6685">
          <cell r="L6685" t="str">
            <v>WA2603CR62NA</v>
          </cell>
          <cell r="BW6685">
            <v>0</v>
          </cell>
        </row>
        <row r="6686">
          <cell r="L6686" t="str">
            <v>WA2603CR62NA</v>
          </cell>
          <cell r="BW6686">
            <v>0</v>
          </cell>
        </row>
        <row r="6687">
          <cell r="L6687" t="str">
            <v>WA2603CR64LG</v>
          </cell>
          <cell r="BW6687">
            <v>0</v>
          </cell>
        </row>
        <row r="6688">
          <cell r="L6688" t="str">
            <v>WA2603CR64LG</v>
          </cell>
          <cell r="BW6688">
            <v>0</v>
          </cell>
        </row>
        <row r="6689">
          <cell r="L6689" t="str">
            <v>WA2603CR64NA</v>
          </cell>
          <cell r="BW6689">
            <v>0</v>
          </cell>
        </row>
        <row r="6690">
          <cell r="L6690" t="str">
            <v>WA2603CR64NA</v>
          </cell>
          <cell r="BW6690">
            <v>0</v>
          </cell>
        </row>
        <row r="6691">
          <cell r="L6691" t="str">
            <v>WA2603CR64TC</v>
          </cell>
          <cell r="BW6691">
            <v>0</v>
          </cell>
        </row>
        <row r="6692">
          <cell r="L6692" t="str">
            <v>WA2603CR64TC</v>
          </cell>
          <cell r="BW6692">
            <v>0</v>
          </cell>
        </row>
        <row r="6693">
          <cell r="L6693" t="str">
            <v>WA2603CR65CH</v>
          </cell>
          <cell r="BW6693">
            <v>0</v>
          </cell>
        </row>
        <row r="6694">
          <cell r="L6694" t="str">
            <v>WA2603CR65CH</v>
          </cell>
          <cell r="BW6694">
            <v>0</v>
          </cell>
        </row>
        <row r="6695">
          <cell r="L6695" t="str">
            <v>WA2603CR65DR</v>
          </cell>
          <cell r="BW6695">
            <v>0</v>
          </cell>
        </row>
        <row r="6696">
          <cell r="L6696" t="str">
            <v>WA2603CR65DR</v>
          </cell>
          <cell r="BW6696">
            <v>0</v>
          </cell>
        </row>
        <row r="6697">
          <cell r="L6697" t="str">
            <v>WA2603CR66BR</v>
          </cell>
          <cell r="BW6697">
            <v>0</v>
          </cell>
        </row>
        <row r="6698">
          <cell r="L6698" t="str">
            <v>WA2603CR66BR</v>
          </cell>
          <cell r="BW6698">
            <v>0</v>
          </cell>
        </row>
        <row r="6699">
          <cell r="L6699" t="str">
            <v>WA2603HD11BK</v>
          </cell>
          <cell r="BW6699">
            <v>0</v>
          </cell>
        </row>
        <row r="6700">
          <cell r="L6700" t="str">
            <v>WA2603HD11BK</v>
          </cell>
          <cell r="BW6700">
            <v>0</v>
          </cell>
        </row>
        <row r="6701">
          <cell r="L6701" t="str">
            <v>WA2603HD11BK</v>
          </cell>
          <cell r="BW6701">
            <v>0</v>
          </cell>
        </row>
        <row r="6702">
          <cell r="L6702" t="str">
            <v>WA2603HD11BK</v>
          </cell>
          <cell r="BW6702">
            <v>0</v>
          </cell>
        </row>
        <row r="6703">
          <cell r="L6703" t="str">
            <v>WA2603HD11GN</v>
          </cell>
          <cell r="BW6703">
            <v>0</v>
          </cell>
        </row>
        <row r="6704">
          <cell r="L6704" t="str">
            <v>WA2603HD11GN</v>
          </cell>
          <cell r="BW6704">
            <v>0</v>
          </cell>
        </row>
        <row r="6705">
          <cell r="L6705" t="str">
            <v>WA2603HD11GN</v>
          </cell>
          <cell r="BW6705">
            <v>0</v>
          </cell>
        </row>
        <row r="6706">
          <cell r="L6706" t="str">
            <v>WA2603HD11GN</v>
          </cell>
          <cell r="BW6706">
            <v>0</v>
          </cell>
        </row>
        <row r="6707">
          <cell r="L6707" t="str">
            <v>WA2603HD12GR</v>
          </cell>
          <cell r="BW6707">
            <v>0</v>
          </cell>
        </row>
        <row r="6708">
          <cell r="L6708" t="str">
            <v>WA2603HD12GR</v>
          </cell>
          <cell r="BW6708">
            <v>0</v>
          </cell>
        </row>
        <row r="6709">
          <cell r="L6709" t="str">
            <v>WA2603HD12GR</v>
          </cell>
          <cell r="BW6709">
            <v>0</v>
          </cell>
        </row>
        <row r="6710">
          <cell r="L6710" t="str">
            <v>WA2603HD12GR</v>
          </cell>
          <cell r="BW6710">
            <v>0</v>
          </cell>
        </row>
        <row r="6711">
          <cell r="L6711" t="str">
            <v>WA2603HD12OG</v>
          </cell>
          <cell r="BW6711">
            <v>0</v>
          </cell>
        </row>
        <row r="6712">
          <cell r="L6712" t="str">
            <v>WA2603HD12OG</v>
          </cell>
          <cell r="BW6712">
            <v>0</v>
          </cell>
        </row>
        <row r="6713">
          <cell r="L6713" t="str">
            <v>WA2603HD12OG</v>
          </cell>
          <cell r="BW6713">
            <v>0</v>
          </cell>
        </row>
        <row r="6714">
          <cell r="L6714" t="str">
            <v>WA2603HD12OG</v>
          </cell>
          <cell r="BW6714">
            <v>0</v>
          </cell>
        </row>
        <row r="6715">
          <cell r="L6715" t="str">
            <v>WA2603HD13NA</v>
          </cell>
          <cell r="BW6715">
            <v>0</v>
          </cell>
        </row>
        <row r="6716">
          <cell r="L6716" t="str">
            <v>WA2603HD13NA</v>
          </cell>
          <cell r="BW6716">
            <v>0</v>
          </cell>
        </row>
        <row r="6717">
          <cell r="L6717" t="str">
            <v>WA2603HD13NA</v>
          </cell>
          <cell r="BW6717">
            <v>0</v>
          </cell>
        </row>
        <row r="6718">
          <cell r="L6718" t="str">
            <v>WA2603HD13NA</v>
          </cell>
          <cell r="BW6718">
            <v>0</v>
          </cell>
        </row>
        <row r="6719">
          <cell r="L6719" t="str">
            <v>WA2603HD13RD</v>
          </cell>
          <cell r="BW6719">
            <v>0</v>
          </cell>
        </row>
        <row r="6720">
          <cell r="L6720" t="str">
            <v>WA2603HD13RD</v>
          </cell>
          <cell r="BW6720">
            <v>0</v>
          </cell>
        </row>
        <row r="6721">
          <cell r="L6721" t="str">
            <v>WA2603HD13RD</v>
          </cell>
          <cell r="BW6721">
            <v>0</v>
          </cell>
        </row>
        <row r="6722">
          <cell r="L6722" t="str">
            <v>WA2603HD13RD</v>
          </cell>
          <cell r="BW6722">
            <v>0</v>
          </cell>
        </row>
        <row r="6723">
          <cell r="L6723" t="str">
            <v>WA2603HD51GR</v>
          </cell>
          <cell r="BW6723">
            <v>0</v>
          </cell>
        </row>
        <row r="6724">
          <cell r="L6724" t="str">
            <v>WA2603HD51GR</v>
          </cell>
          <cell r="BW6724">
            <v>0</v>
          </cell>
        </row>
        <row r="6725">
          <cell r="L6725" t="str">
            <v>WA2603HD51PU</v>
          </cell>
          <cell r="BW6725">
            <v>0</v>
          </cell>
        </row>
        <row r="6726">
          <cell r="L6726" t="str">
            <v>WA2603HD51PU</v>
          </cell>
          <cell r="BW6726">
            <v>0</v>
          </cell>
        </row>
        <row r="6727">
          <cell r="L6727" t="str">
            <v>WA2603HD61CM</v>
          </cell>
          <cell r="BW6727">
            <v>0</v>
          </cell>
        </row>
        <row r="6728">
          <cell r="L6728" t="str">
            <v>WA2603HD61CM</v>
          </cell>
          <cell r="BW6728">
            <v>0</v>
          </cell>
        </row>
        <row r="6729">
          <cell r="L6729" t="str">
            <v>WA2603HD61MI</v>
          </cell>
          <cell r="BW6729">
            <v>0</v>
          </cell>
        </row>
        <row r="6730">
          <cell r="L6730" t="str">
            <v>WA2603HD61MI</v>
          </cell>
          <cell r="BW6730">
            <v>0</v>
          </cell>
        </row>
        <row r="6731">
          <cell r="L6731" t="str">
            <v>WA2603HD61NA</v>
          </cell>
          <cell r="BW6731">
            <v>0</v>
          </cell>
        </row>
        <row r="6732">
          <cell r="L6732" t="str">
            <v>WA2603HD61NA</v>
          </cell>
          <cell r="BW6732">
            <v>0</v>
          </cell>
        </row>
        <row r="6733">
          <cell r="L6733" t="str">
            <v>WA2603HD62BR</v>
          </cell>
          <cell r="BW6733">
            <v>0</v>
          </cell>
        </row>
        <row r="6734">
          <cell r="L6734" t="str">
            <v>WA2603HD62BR</v>
          </cell>
          <cell r="BW6734">
            <v>0</v>
          </cell>
        </row>
        <row r="6735">
          <cell r="L6735" t="str">
            <v>WA2603HD62OT</v>
          </cell>
          <cell r="BW6735">
            <v>0</v>
          </cell>
        </row>
        <row r="6736">
          <cell r="L6736" t="str">
            <v>WA2603HD62OT</v>
          </cell>
          <cell r="BW6736">
            <v>0</v>
          </cell>
        </row>
        <row r="6737">
          <cell r="L6737" t="str">
            <v>WA2603HZ11BR</v>
          </cell>
          <cell r="BW6737">
            <v>0</v>
          </cell>
        </row>
        <row r="6738">
          <cell r="L6738" t="str">
            <v>WA2603HZ11BR</v>
          </cell>
          <cell r="BW6738">
            <v>0</v>
          </cell>
        </row>
        <row r="6739">
          <cell r="L6739" t="str">
            <v>WA2603HZ11BR</v>
          </cell>
          <cell r="BW6739">
            <v>0</v>
          </cell>
        </row>
        <row r="6740">
          <cell r="L6740" t="str">
            <v>WA2603HZ11BR</v>
          </cell>
          <cell r="BW6740">
            <v>0</v>
          </cell>
        </row>
        <row r="6741">
          <cell r="L6741" t="str">
            <v>WA2603HZ11NA</v>
          </cell>
          <cell r="BW6741">
            <v>0</v>
          </cell>
        </row>
        <row r="6742">
          <cell r="L6742" t="str">
            <v>WA2603HZ11NA</v>
          </cell>
          <cell r="BW6742">
            <v>0</v>
          </cell>
        </row>
        <row r="6743">
          <cell r="L6743" t="str">
            <v>WA2603HZ11NA</v>
          </cell>
          <cell r="BW6743">
            <v>0</v>
          </cell>
        </row>
        <row r="6744">
          <cell r="L6744" t="str">
            <v>WA2603HZ11NA</v>
          </cell>
          <cell r="BW6744">
            <v>0</v>
          </cell>
        </row>
        <row r="6745">
          <cell r="L6745" t="str">
            <v>WA2603HZ12BK</v>
          </cell>
          <cell r="BW6745">
            <v>0</v>
          </cell>
        </row>
        <row r="6746">
          <cell r="L6746" t="str">
            <v>WA2603HZ12BK</v>
          </cell>
          <cell r="BW6746">
            <v>0</v>
          </cell>
        </row>
        <row r="6747">
          <cell r="L6747" t="str">
            <v>WA2603HZ12BK</v>
          </cell>
          <cell r="BW6747">
            <v>0</v>
          </cell>
        </row>
        <row r="6748">
          <cell r="L6748" t="str">
            <v>WA2603HZ12BK</v>
          </cell>
          <cell r="BW6748">
            <v>0</v>
          </cell>
        </row>
        <row r="6749">
          <cell r="L6749" t="str">
            <v>WA2603HZ12BR</v>
          </cell>
          <cell r="BW6749">
            <v>0</v>
          </cell>
        </row>
        <row r="6750">
          <cell r="L6750" t="str">
            <v>WA2603HZ12BR</v>
          </cell>
          <cell r="BW6750">
            <v>0</v>
          </cell>
        </row>
        <row r="6751">
          <cell r="L6751" t="str">
            <v>WA2603HZ12BR</v>
          </cell>
          <cell r="BW6751">
            <v>0</v>
          </cell>
        </row>
        <row r="6752">
          <cell r="L6752" t="str">
            <v>WA2603HZ12BR</v>
          </cell>
          <cell r="BW6752">
            <v>0</v>
          </cell>
        </row>
        <row r="6753">
          <cell r="L6753" t="str">
            <v>WA2603HZ12IN</v>
          </cell>
          <cell r="BW6753">
            <v>0</v>
          </cell>
        </row>
        <row r="6754">
          <cell r="L6754" t="str">
            <v>WA2603HZ12IN</v>
          </cell>
          <cell r="BW6754">
            <v>0</v>
          </cell>
        </row>
        <row r="6755">
          <cell r="L6755" t="str">
            <v>WA2603HZ12IN</v>
          </cell>
          <cell r="BW6755">
            <v>0</v>
          </cell>
        </row>
        <row r="6756">
          <cell r="L6756" t="str">
            <v>WA2603HZ12IN</v>
          </cell>
          <cell r="BW6756">
            <v>0</v>
          </cell>
        </row>
        <row r="6757">
          <cell r="L6757" t="str">
            <v>WA2603HZ13CH</v>
          </cell>
          <cell r="BW6757">
            <v>0</v>
          </cell>
        </row>
        <row r="6758">
          <cell r="L6758" t="str">
            <v>WA2603HZ13CH</v>
          </cell>
          <cell r="BW6758">
            <v>0</v>
          </cell>
        </row>
        <row r="6759">
          <cell r="L6759" t="str">
            <v>WA2603HZ13CH</v>
          </cell>
          <cell r="BW6759">
            <v>0</v>
          </cell>
        </row>
        <row r="6760">
          <cell r="L6760" t="str">
            <v>WA2603HZ13CH</v>
          </cell>
          <cell r="BW6760">
            <v>0</v>
          </cell>
        </row>
        <row r="6761">
          <cell r="L6761" t="str">
            <v>WA2603HZ13DK</v>
          </cell>
          <cell r="BW6761">
            <v>0</v>
          </cell>
        </row>
        <row r="6762">
          <cell r="L6762" t="str">
            <v>WA2603HZ13DK</v>
          </cell>
          <cell r="BW6762">
            <v>0</v>
          </cell>
        </row>
        <row r="6763">
          <cell r="L6763" t="str">
            <v>WA2603HZ13DK</v>
          </cell>
          <cell r="BW6763">
            <v>0</v>
          </cell>
        </row>
        <row r="6764">
          <cell r="L6764" t="str">
            <v>WA2603HZ13DK</v>
          </cell>
          <cell r="BW6764">
            <v>0</v>
          </cell>
        </row>
        <row r="6765">
          <cell r="L6765" t="str">
            <v>WA2603HZ14BK</v>
          </cell>
          <cell r="BW6765">
            <v>0</v>
          </cell>
        </row>
        <row r="6766">
          <cell r="L6766" t="str">
            <v>WA2603HZ14BK</v>
          </cell>
          <cell r="BW6766">
            <v>0</v>
          </cell>
        </row>
        <row r="6767">
          <cell r="L6767" t="str">
            <v>WA2603HZ14BK</v>
          </cell>
          <cell r="BW6767">
            <v>0</v>
          </cell>
        </row>
        <row r="6768">
          <cell r="L6768" t="str">
            <v>WA2603HZ14BR</v>
          </cell>
          <cell r="BW6768">
            <v>0</v>
          </cell>
        </row>
        <row r="6769">
          <cell r="L6769" t="str">
            <v>WA2603HZ14BR</v>
          </cell>
          <cell r="BW6769">
            <v>0</v>
          </cell>
        </row>
        <row r="6770">
          <cell r="L6770" t="str">
            <v>WA2603HZ14BR</v>
          </cell>
          <cell r="BW6770">
            <v>0</v>
          </cell>
        </row>
        <row r="6771">
          <cell r="L6771" t="str">
            <v>WA2603HZ51LG</v>
          </cell>
          <cell r="BW6771">
            <v>0</v>
          </cell>
        </row>
        <row r="6772">
          <cell r="L6772" t="str">
            <v>WA2603HZ51LG</v>
          </cell>
          <cell r="BW6772">
            <v>0</v>
          </cell>
        </row>
        <row r="6773">
          <cell r="L6773" t="str">
            <v>WA2603HZ51LP</v>
          </cell>
          <cell r="BW6773">
            <v>0</v>
          </cell>
        </row>
        <row r="6774">
          <cell r="L6774" t="str">
            <v>WA2603HZ51LP</v>
          </cell>
          <cell r="BW6774">
            <v>0</v>
          </cell>
        </row>
        <row r="6775">
          <cell r="L6775" t="str">
            <v>WA2603HZ51NA</v>
          </cell>
          <cell r="BW6775">
            <v>0</v>
          </cell>
        </row>
        <row r="6776">
          <cell r="L6776" t="str">
            <v>WA2603HZ51NA</v>
          </cell>
          <cell r="BW6776">
            <v>0</v>
          </cell>
        </row>
        <row r="6777">
          <cell r="L6777" t="str">
            <v>WA2603HZ55BL</v>
          </cell>
          <cell r="BW6777">
            <v>0</v>
          </cell>
        </row>
        <row r="6778">
          <cell r="L6778" t="str">
            <v>WA2603HZ55BL</v>
          </cell>
          <cell r="BW6778">
            <v>0</v>
          </cell>
        </row>
        <row r="6779">
          <cell r="L6779" t="str">
            <v>WA2603HZ55BL</v>
          </cell>
          <cell r="BW6779">
            <v>0</v>
          </cell>
        </row>
        <row r="6780">
          <cell r="L6780" t="str">
            <v>WA2603HZ55GR</v>
          </cell>
          <cell r="BW6780">
            <v>0</v>
          </cell>
        </row>
        <row r="6781">
          <cell r="L6781" t="str">
            <v>WA2603HZ55GR</v>
          </cell>
          <cell r="BW6781">
            <v>0</v>
          </cell>
        </row>
        <row r="6782">
          <cell r="L6782" t="str">
            <v>WA2603HZ55GR</v>
          </cell>
          <cell r="BW6782">
            <v>0</v>
          </cell>
        </row>
        <row r="6783">
          <cell r="L6783" t="str">
            <v>WA2603HZ61CM</v>
          </cell>
          <cell r="BW6783">
            <v>0</v>
          </cell>
        </row>
        <row r="6784">
          <cell r="L6784" t="str">
            <v>WA2603HZ61CM</v>
          </cell>
          <cell r="BW6784">
            <v>0</v>
          </cell>
        </row>
        <row r="6785">
          <cell r="L6785" t="str">
            <v>WA2603HZ61CM</v>
          </cell>
          <cell r="BW6785">
            <v>0</v>
          </cell>
        </row>
        <row r="6786">
          <cell r="L6786" t="str">
            <v>WA2603HZ61PI</v>
          </cell>
          <cell r="BW6786">
            <v>0</v>
          </cell>
        </row>
        <row r="6787">
          <cell r="L6787" t="str">
            <v>WA2603HZ61PI</v>
          </cell>
          <cell r="BW6787">
            <v>0</v>
          </cell>
        </row>
        <row r="6788">
          <cell r="L6788" t="str">
            <v>WA2603HZ61PI</v>
          </cell>
          <cell r="BW6788">
            <v>0</v>
          </cell>
        </row>
        <row r="6789">
          <cell r="L6789" t="str">
            <v>WA2603HZ62BK</v>
          </cell>
          <cell r="BW6789">
            <v>0</v>
          </cell>
        </row>
        <row r="6790">
          <cell r="L6790" t="str">
            <v>WA2603HZ62BK</v>
          </cell>
          <cell r="BW6790">
            <v>0</v>
          </cell>
        </row>
        <row r="6791">
          <cell r="L6791" t="str">
            <v>WA2603HZ62CM</v>
          </cell>
          <cell r="BW6791">
            <v>0</v>
          </cell>
        </row>
        <row r="6792">
          <cell r="L6792" t="str">
            <v>WA2603HZ62CM</v>
          </cell>
          <cell r="BW6792">
            <v>0</v>
          </cell>
        </row>
        <row r="6793">
          <cell r="L6793" t="str">
            <v>WA2603HZ63GR</v>
          </cell>
          <cell r="BW6793">
            <v>0</v>
          </cell>
        </row>
        <row r="6794">
          <cell r="L6794" t="str">
            <v>WA2603HZ63GR</v>
          </cell>
          <cell r="BW6794">
            <v>0</v>
          </cell>
        </row>
        <row r="6795">
          <cell r="L6795" t="str">
            <v>WA2603HZ64GR</v>
          </cell>
          <cell r="BW6795">
            <v>0</v>
          </cell>
        </row>
        <row r="6796">
          <cell r="L6796" t="str">
            <v>WA2603HZ67BK</v>
          </cell>
          <cell r="BW6796">
            <v>0</v>
          </cell>
        </row>
        <row r="6797">
          <cell r="L6797" t="str">
            <v>WA2603HZ67BK</v>
          </cell>
          <cell r="BW6797">
            <v>0</v>
          </cell>
        </row>
        <row r="6798">
          <cell r="L6798" t="str">
            <v>WA2603HZ67PU</v>
          </cell>
          <cell r="BW6798">
            <v>0</v>
          </cell>
        </row>
        <row r="6799">
          <cell r="L6799" t="str">
            <v>WA2603HZ67PU</v>
          </cell>
          <cell r="BW6799">
            <v>0</v>
          </cell>
        </row>
        <row r="6800">
          <cell r="L6800" t="str">
            <v>WA2603JK12CH</v>
          </cell>
          <cell r="BW6800">
            <v>0</v>
          </cell>
        </row>
        <row r="6801">
          <cell r="L6801" t="str">
            <v>WA2603JK12CH</v>
          </cell>
          <cell r="BW6801">
            <v>0</v>
          </cell>
        </row>
        <row r="6802">
          <cell r="L6802" t="str">
            <v>WA2603JK12CH</v>
          </cell>
          <cell r="BW6802">
            <v>0</v>
          </cell>
        </row>
        <row r="6803">
          <cell r="L6803" t="str">
            <v>WA2603JK12CH</v>
          </cell>
          <cell r="BW6803">
            <v>0</v>
          </cell>
        </row>
        <row r="6804">
          <cell r="L6804" t="str">
            <v>WA2603JK12IN</v>
          </cell>
          <cell r="BW6804">
            <v>0</v>
          </cell>
        </row>
        <row r="6805">
          <cell r="L6805" t="str">
            <v>WA2603JK12IN</v>
          </cell>
          <cell r="BW6805">
            <v>0</v>
          </cell>
        </row>
        <row r="6806">
          <cell r="L6806" t="str">
            <v>WA2603JK12IN</v>
          </cell>
          <cell r="BW6806">
            <v>0</v>
          </cell>
        </row>
        <row r="6807">
          <cell r="L6807" t="str">
            <v>WA2603JK12IN</v>
          </cell>
          <cell r="BW6807">
            <v>0</v>
          </cell>
        </row>
        <row r="6808">
          <cell r="L6808" t="str">
            <v>WA2603JK12TC</v>
          </cell>
          <cell r="BW6808">
            <v>0</v>
          </cell>
        </row>
        <row r="6809">
          <cell r="L6809" t="str">
            <v>WA2603JK12TC</v>
          </cell>
          <cell r="BW6809">
            <v>0</v>
          </cell>
        </row>
        <row r="6810">
          <cell r="L6810" t="str">
            <v>WA2603JK12TC</v>
          </cell>
          <cell r="BW6810">
            <v>0</v>
          </cell>
        </row>
        <row r="6811">
          <cell r="L6811" t="str">
            <v>WA2603JK12TC</v>
          </cell>
          <cell r="BW6811">
            <v>0</v>
          </cell>
        </row>
        <row r="6812">
          <cell r="L6812" t="str">
            <v>WA2603JK13BE</v>
          </cell>
          <cell r="BW6812">
            <v>0</v>
          </cell>
        </row>
        <row r="6813">
          <cell r="L6813" t="str">
            <v>WA2603JK13BE</v>
          </cell>
          <cell r="BW6813">
            <v>0</v>
          </cell>
        </row>
        <row r="6814">
          <cell r="L6814" t="str">
            <v>WA2603JK13BE</v>
          </cell>
          <cell r="BW6814">
            <v>0</v>
          </cell>
        </row>
        <row r="6815">
          <cell r="L6815" t="str">
            <v>WA2603JK13BE</v>
          </cell>
          <cell r="BW6815">
            <v>0</v>
          </cell>
        </row>
        <row r="6816">
          <cell r="L6816" t="str">
            <v>WA2603JK13GR</v>
          </cell>
          <cell r="BW6816">
            <v>0</v>
          </cell>
        </row>
        <row r="6817">
          <cell r="L6817" t="str">
            <v>WA2603JK13GR</v>
          </cell>
          <cell r="BW6817">
            <v>0</v>
          </cell>
        </row>
        <row r="6818">
          <cell r="L6818" t="str">
            <v>WA2603JK13GR</v>
          </cell>
          <cell r="BW6818">
            <v>0</v>
          </cell>
        </row>
        <row r="6819">
          <cell r="L6819" t="str">
            <v>WA2603JK13GR</v>
          </cell>
          <cell r="BW6819">
            <v>0</v>
          </cell>
        </row>
        <row r="6820">
          <cell r="L6820" t="str">
            <v>WA2603JK61BE</v>
          </cell>
          <cell r="BW6820">
            <v>0</v>
          </cell>
        </row>
        <row r="6821">
          <cell r="L6821" t="str">
            <v>WA2603JK61TC</v>
          </cell>
          <cell r="BW6821">
            <v>0</v>
          </cell>
        </row>
        <row r="6822">
          <cell r="L6822" t="str">
            <v>WA2603JK62BE</v>
          </cell>
          <cell r="BW6822">
            <v>0</v>
          </cell>
        </row>
        <row r="6823">
          <cell r="L6823" t="str">
            <v>WA2603JK62BE</v>
          </cell>
          <cell r="BW6823">
            <v>0</v>
          </cell>
        </row>
        <row r="6824">
          <cell r="L6824" t="str">
            <v>WA2603JK63BE</v>
          </cell>
          <cell r="BW6824">
            <v>0</v>
          </cell>
        </row>
        <row r="6825">
          <cell r="L6825" t="str">
            <v>WA2603JK63DO</v>
          </cell>
          <cell r="BW6825">
            <v>0</v>
          </cell>
        </row>
        <row r="6826">
          <cell r="L6826" t="str">
            <v>WA2603JK64BK</v>
          </cell>
          <cell r="BW6826">
            <v>0</v>
          </cell>
        </row>
        <row r="6827">
          <cell r="L6827" t="str">
            <v>WA2603JK64BK</v>
          </cell>
          <cell r="BW6827">
            <v>0</v>
          </cell>
        </row>
        <row r="6828">
          <cell r="L6828" t="str">
            <v>WA2603JK64BR</v>
          </cell>
          <cell r="BW6828">
            <v>0</v>
          </cell>
        </row>
        <row r="6829">
          <cell r="L6829" t="str">
            <v>WA2603JK64BR</v>
          </cell>
          <cell r="BW6829">
            <v>0</v>
          </cell>
        </row>
        <row r="6830">
          <cell r="L6830" t="str">
            <v>WA2603JK65CM</v>
          </cell>
          <cell r="BW6830">
            <v>0</v>
          </cell>
        </row>
        <row r="6831">
          <cell r="L6831" t="str">
            <v>WA2603JK65CM</v>
          </cell>
          <cell r="BW6831">
            <v>0</v>
          </cell>
        </row>
        <row r="6832">
          <cell r="L6832" t="str">
            <v>WA2603JK65LB</v>
          </cell>
          <cell r="BW6832">
            <v>0</v>
          </cell>
        </row>
        <row r="6833">
          <cell r="L6833" t="str">
            <v>WA2603JK65LB</v>
          </cell>
          <cell r="BW6833">
            <v>0</v>
          </cell>
        </row>
        <row r="6834">
          <cell r="L6834" t="str">
            <v>WA2603JK65TC</v>
          </cell>
          <cell r="BW6834">
            <v>0</v>
          </cell>
        </row>
        <row r="6835">
          <cell r="L6835" t="str">
            <v>WA2603JK65TC</v>
          </cell>
          <cell r="BW6835">
            <v>0</v>
          </cell>
        </row>
        <row r="6836">
          <cell r="L6836" t="str">
            <v>WA2603JK66BR</v>
          </cell>
          <cell r="BW6836">
            <v>0</v>
          </cell>
        </row>
        <row r="6837">
          <cell r="L6837" t="str">
            <v>WA2603JK67BK</v>
          </cell>
          <cell r="BW6837">
            <v>0</v>
          </cell>
        </row>
        <row r="6838">
          <cell r="L6838" t="str">
            <v>WA2603JK67BR</v>
          </cell>
          <cell r="BW6838">
            <v>0</v>
          </cell>
        </row>
        <row r="6839">
          <cell r="L6839" t="str">
            <v>WA2603KT11TC</v>
          </cell>
          <cell r="BW6839">
            <v>0</v>
          </cell>
        </row>
        <row r="6840">
          <cell r="L6840" t="str">
            <v>WA2603KT11TC</v>
          </cell>
          <cell r="BW6840">
            <v>0</v>
          </cell>
        </row>
        <row r="6841">
          <cell r="L6841" t="str">
            <v>WA2603KT11TC</v>
          </cell>
          <cell r="BW6841">
            <v>0</v>
          </cell>
        </row>
        <row r="6842">
          <cell r="L6842" t="str">
            <v>WA2603KT12BK</v>
          </cell>
          <cell r="BW6842">
            <v>0</v>
          </cell>
        </row>
        <row r="6843">
          <cell r="L6843" t="str">
            <v>WA2603KT12BK</v>
          </cell>
          <cell r="BW6843">
            <v>0</v>
          </cell>
        </row>
        <row r="6844">
          <cell r="L6844" t="str">
            <v>WA2603KT12BK</v>
          </cell>
          <cell r="BW6844">
            <v>0</v>
          </cell>
        </row>
        <row r="6845">
          <cell r="L6845" t="str">
            <v>WA2603KT12CM</v>
          </cell>
          <cell r="BW6845">
            <v>0</v>
          </cell>
        </row>
        <row r="6846">
          <cell r="L6846" t="str">
            <v>WA2603KT12CM</v>
          </cell>
          <cell r="BW6846">
            <v>0</v>
          </cell>
        </row>
        <row r="6847">
          <cell r="L6847" t="str">
            <v>WA2603KT12CM</v>
          </cell>
          <cell r="BW6847">
            <v>0</v>
          </cell>
        </row>
        <row r="6848">
          <cell r="L6848" t="str">
            <v>WA2603KT12CM</v>
          </cell>
          <cell r="BW6848">
            <v>0</v>
          </cell>
        </row>
        <row r="6849">
          <cell r="L6849" t="str">
            <v>WA2603KT61GR</v>
          </cell>
          <cell r="BW6849">
            <v>0</v>
          </cell>
        </row>
        <row r="6850">
          <cell r="L6850" t="str">
            <v>WA2603KT62IV</v>
          </cell>
          <cell r="BW6850">
            <v>0</v>
          </cell>
        </row>
        <row r="6851">
          <cell r="L6851" t="str">
            <v>WA2603KT62IV</v>
          </cell>
          <cell r="BW6851">
            <v>0</v>
          </cell>
        </row>
        <row r="6852">
          <cell r="L6852" t="str">
            <v>WA2603KT62IV</v>
          </cell>
          <cell r="BW6852">
            <v>0</v>
          </cell>
        </row>
        <row r="6853">
          <cell r="L6853" t="str">
            <v>WA2603KT62NA</v>
          </cell>
          <cell r="BW6853">
            <v>0</v>
          </cell>
        </row>
        <row r="6854">
          <cell r="L6854" t="str">
            <v>WA2603KT62NA</v>
          </cell>
          <cell r="BW6854">
            <v>0</v>
          </cell>
        </row>
        <row r="6855">
          <cell r="L6855" t="str">
            <v>WA2603KT62NA</v>
          </cell>
          <cell r="BW6855">
            <v>0</v>
          </cell>
        </row>
        <row r="6856">
          <cell r="L6856" t="str">
            <v>WA2603KT62SB</v>
          </cell>
          <cell r="BW6856">
            <v>0</v>
          </cell>
        </row>
        <row r="6857">
          <cell r="L6857" t="str">
            <v>WA2603KT62SB</v>
          </cell>
          <cell r="BW6857">
            <v>0</v>
          </cell>
        </row>
        <row r="6858">
          <cell r="L6858" t="str">
            <v>WA2603KT62SB</v>
          </cell>
          <cell r="BW6858">
            <v>0</v>
          </cell>
        </row>
        <row r="6859">
          <cell r="L6859" t="str">
            <v>WA2603KT62YE</v>
          </cell>
          <cell r="BW6859">
            <v>0</v>
          </cell>
        </row>
        <row r="6860">
          <cell r="L6860" t="str">
            <v>WA2603KT62YE</v>
          </cell>
          <cell r="BW6860">
            <v>0</v>
          </cell>
        </row>
        <row r="6861">
          <cell r="L6861" t="str">
            <v>WA2603KT62YE</v>
          </cell>
          <cell r="BW6861">
            <v>0</v>
          </cell>
        </row>
        <row r="6862">
          <cell r="L6862" t="str">
            <v>WA2603KT64CM</v>
          </cell>
          <cell r="BW6862">
            <v>0</v>
          </cell>
        </row>
        <row r="6863">
          <cell r="L6863" t="str">
            <v>WA2603KT64CM</v>
          </cell>
          <cell r="BW6863">
            <v>0</v>
          </cell>
        </row>
        <row r="6864">
          <cell r="L6864" t="str">
            <v>WA2603KT64NA</v>
          </cell>
          <cell r="BW6864">
            <v>0</v>
          </cell>
        </row>
        <row r="6865">
          <cell r="L6865" t="str">
            <v>WA2603KT64NA</v>
          </cell>
          <cell r="BW6865">
            <v>0</v>
          </cell>
        </row>
        <row r="6866">
          <cell r="L6866" t="str">
            <v>WA2603KT64SB</v>
          </cell>
          <cell r="BW6866">
            <v>0</v>
          </cell>
        </row>
        <row r="6867">
          <cell r="L6867" t="str">
            <v>WA2603KT64SB</v>
          </cell>
          <cell r="BW6867">
            <v>0</v>
          </cell>
        </row>
        <row r="6868">
          <cell r="L6868" t="str">
            <v>WA2603KT65GR</v>
          </cell>
          <cell r="BW6868">
            <v>0</v>
          </cell>
        </row>
        <row r="6869">
          <cell r="L6869" t="str">
            <v>WA2603KT65GR</v>
          </cell>
          <cell r="BW6869">
            <v>0</v>
          </cell>
        </row>
        <row r="6870">
          <cell r="L6870" t="str">
            <v>WA2603KT65IV</v>
          </cell>
          <cell r="BW6870">
            <v>0</v>
          </cell>
        </row>
        <row r="6871">
          <cell r="L6871" t="str">
            <v>WA2603KT65IV</v>
          </cell>
          <cell r="BW6871">
            <v>0</v>
          </cell>
        </row>
        <row r="6872">
          <cell r="L6872" t="str">
            <v>WA2603KT67BR</v>
          </cell>
          <cell r="BW6872">
            <v>0</v>
          </cell>
        </row>
        <row r="6873">
          <cell r="L6873" t="str">
            <v>WA2603KT67BR</v>
          </cell>
          <cell r="BW6873">
            <v>0</v>
          </cell>
        </row>
        <row r="6874">
          <cell r="L6874" t="str">
            <v>WA2603KT67CM</v>
          </cell>
          <cell r="BW6874">
            <v>0</v>
          </cell>
        </row>
        <row r="6875">
          <cell r="L6875" t="str">
            <v>WA2603KT67CM</v>
          </cell>
          <cell r="BW6875">
            <v>0</v>
          </cell>
        </row>
        <row r="6876">
          <cell r="L6876" t="str">
            <v>WA2603KT68PI</v>
          </cell>
          <cell r="BW6876">
            <v>0</v>
          </cell>
        </row>
        <row r="6877">
          <cell r="L6877" t="str">
            <v>WA2603KT69BR</v>
          </cell>
          <cell r="BW6877">
            <v>0</v>
          </cell>
        </row>
        <row r="6878">
          <cell r="L6878" t="str">
            <v>WA2603KT69BR</v>
          </cell>
          <cell r="BW6878">
            <v>0</v>
          </cell>
        </row>
        <row r="6879">
          <cell r="L6879" t="str">
            <v>WA2603KT69GR</v>
          </cell>
          <cell r="BW6879">
            <v>0</v>
          </cell>
        </row>
        <row r="6880">
          <cell r="L6880" t="str">
            <v>WA2603KT69GR</v>
          </cell>
          <cell r="BW6880">
            <v>0</v>
          </cell>
        </row>
        <row r="6881">
          <cell r="L6881" t="str">
            <v>WA2603KTW1CM</v>
          </cell>
          <cell r="BW6881">
            <v>0</v>
          </cell>
        </row>
        <row r="6882">
          <cell r="L6882" t="str">
            <v>WA2603KTW1CM</v>
          </cell>
          <cell r="BW6882">
            <v>0</v>
          </cell>
        </row>
        <row r="6883">
          <cell r="L6883" t="str">
            <v>WA2603KTW1GR</v>
          </cell>
          <cell r="BW6883">
            <v>0</v>
          </cell>
        </row>
        <row r="6884">
          <cell r="L6884" t="str">
            <v>WA2603KTW1GR</v>
          </cell>
          <cell r="BW6884">
            <v>0</v>
          </cell>
        </row>
        <row r="6885">
          <cell r="L6885" t="str">
            <v>WA2603LT11TC</v>
          </cell>
          <cell r="BW6885">
            <v>0</v>
          </cell>
        </row>
        <row r="6886">
          <cell r="L6886" t="str">
            <v>WA2603LT11TC</v>
          </cell>
          <cell r="BW6886">
            <v>0</v>
          </cell>
        </row>
        <row r="6887">
          <cell r="L6887" t="str">
            <v>WA2603LT11TC</v>
          </cell>
          <cell r="BW6887">
            <v>0</v>
          </cell>
        </row>
        <row r="6888">
          <cell r="L6888" t="str">
            <v>WA2603LT12BK</v>
          </cell>
          <cell r="BW6888">
            <v>0</v>
          </cell>
        </row>
        <row r="6889">
          <cell r="L6889" t="str">
            <v>WA2603LT12BK</v>
          </cell>
          <cell r="BW6889">
            <v>0</v>
          </cell>
        </row>
        <row r="6890">
          <cell r="L6890" t="str">
            <v>WA2603LT12BK</v>
          </cell>
          <cell r="BW6890">
            <v>0</v>
          </cell>
        </row>
        <row r="6891">
          <cell r="L6891" t="str">
            <v>WA2603LT12BK</v>
          </cell>
          <cell r="BW6891">
            <v>0</v>
          </cell>
        </row>
        <row r="6892">
          <cell r="L6892" t="str">
            <v>WA2603LT12WH</v>
          </cell>
          <cell r="BW6892">
            <v>0</v>
          </cell>
        </row>
        <row r="6893">
          <cell r="L6893" t="str">
            <v>WA2603LT12WH</v>
          </cell>
          <cell r="BW6893">
            <v>0</v>
          </cell>
        </row>
        <row r="6894">
          <cell r="L6894" t="str">
            <v>WA2603LT12WH</v>
          </cell>
          <cell r="BW6894">
            <v>0</v>
          </cell>
        </row>
        <row r="6895">
          <cell r="L6895" t="str">
            <v>WA2603LT12WH</v>
          </cell>
          <cell r="BW6895">
            <v>0</v>
          </cell>
        </row>
        <row r="6896">
          <cell r="L6896" t="str">
            <v>WA2603LT13CH</v>
          </cell>
          <cell r="BW6896">
            <v>0</v>
          </cell>
        </row>
        <row r="6897">
          <cell r="L6897" t="str">
            <v>WA2603LT13CH</v>
          </cell>
          <cell r="BW6897">
            <v>0</v>
          </cell>
        </row>
        <row r="6898">
          <cell r="L6898" t="str">
            <v>WA2603LT13CH</v>
          </cell>
          <cell r="BW6898">
            <v>0</v>
          </cell>
        </row>
        <row r="6899">
          <cell r="L6899" t="str">
            <v>WA2603LT13CH</v>
          </cell>
          <cell r="BW6899">
            <v>0</v>
          </cell>
        </row>
        <row r="6900">
          <cell r="L6900" t="str">
            <v>WA2603LT13GR</v>
          </cell>
          <cell r="BW6900">
            <v>0</v>
          </cell>
        </row>
        <row r="6901">
          <cell r="L6901" t="str">
            <v>WA2603LT13GR</v>
          </cell>
          <cell r="BW6901">
            <v>0</v>
          </cell>
        </row>
        <row r="6902">
          <cell r="L6902" t="str">
            <v>WA2603LT13GR</v>
          </cell>
          <cell r="BW6902">
            <v>0</v>
          </cell>
        </row>
        <row r="6903">
          <cell r="L6903" t="str">
            <v>WA2603LT14BK</v>
          </cell>
          <cell r="BW6903">
            <v>0</v>
          </cell>
        </row>
        <row r="6904">
          <cell r="L6904" t="str">
            <v>WA2603LT14BK</v>
          </cell>
          <cell r="BW6904">
            <v>0</v>
          </cell>
        </row>
        <row r="6905">
          <cell r="L6905" t="str">
            <v>WA2603LT14BK</v>
          </cell>
          <cell r="BW6905">
            <v>0</v>
          </cell>
        </row>
        <row r="6906">
          <cell r="L6906" t="str">
            <v>WA2603LT14BK</v>
          </cell>
          <cell r="BW6906">
            <v>0</v>
          </cell>
        </row>
        <row r="6907">
          <cell r="L6907" t="str">
            <v>WA2603LT14BU</v>
          </cell>
          <cell r="BW6907">
            <v>0</v>
          </cell>
        </row>
        <row r="6908">
          <cell r="L6908" t="str">
            <v>WA2603LT14BU</v>
          </cell>
          <cell r="BW6908">
            <v>0</v>
          </cell>
        </row>
        <row r="6909">
          <cell r="L6909" t="str">
            <v>WA2603LT14BU</v>
          </cell>
          <cell r="BW6909">
            <v>0</v>
          </cell>
        </row>
        <row r="6910">
          <cell r="L6910" t="str">
            <v>WA2603LT14BU</v>
          </cell>
          <cell r="BW6910">
            <v>0</v>
          </cell>
        </row>
        <row r="6911">
          <cell r="L6911" t="str">
            <v>WA2603LT15CH</v>
          </cell>
          <cell r="BW6911">
            <v>0</v>
          </cell>
        </row>
        <row r="6912">
          <cell r="L6912" t="str">
            <v>WA2603LT15CH</v>
          </cell>
          <cell r="BW6912">
            <v>0</v>
          </cell>
        </row>
        <row r="6913">
          <cell r="L6913" t="str">
            <v>WA2603LT15CH</v>
          </cell>
          <cell r="BW6913">
            <v>0</v>
          </cell>
        </row>
        <row r="6914">
          <cell r="L6914" t="str">
            <v>WA2603LT15CH</v>
          </cell>
          <cell r="BW6914">
            <v>0</v>
          </cell>
        </row>
        <row r="6915">
          <cell r="L6915" t="str">
            <v>WA2603LT15GR</v>
          </cell>
          <cell r="BW6915">
            <v>0</v>
          </cell>
        </row>
        <row r="6916">
          <cell r="L6916" t="str">
            <v>WA2603LT15GR</v>
          </cell>
          <cell r="BW6916">
            <v>0</v>
          </cell>
        </row>
        <row r="6917">
          <cell r="L6917" t="str">
            <v>WA2603LT15GR</v>
          </cell>
          <cell r="BW6917">
            <v>0</v>
          </cell>
        </row>
        <row r="6918">
          <cell r="L6918" t="str">
            <v>WA2603LT15GR</v>
          </cell>
          <cell r="BW6918">
            <v>0</v>
          </cell>
        </row>
        <row r="6919">
          <cell r="L6919" t="str">
            <v>WA2603LT16KH</v>
          </cell>
          <cell r="BW6919">
            <v>0</v>
          </cell>
        </row>
        <row r="6920">
          <cell r="L6920" t="str">
            <v>WA2603LT16KH</v>
          </cell>
          <cell r="BW6920">
            <v>0</v>
          </cell>
        </row>
        <row r="6921">
          <cell r="L6921" t="str">
            <v>WA2603LT16KH</v>
          </cell>
          <cell r="BW6921">
            <v>0</v>
          </cell>
        </row>
        <row r="6922">
          <cell r="L6922" t="str">
            <v>WA2603LT16KH</v>
          </cell>
          <cell r="BW6922">
            <v>0</v>
          </cell>
        </row>
        <row r="6923">
          <cell r="L6923" t="str">
            <v>WA2603LT16NA</v>
          </cell>
          <cell r="BW6923">
            <v>0</v>
          </cell>
        </row>
        <row r="6924">
          <cell r="L6924" t="str">
            <v>WA2603LT16NA</v>
          </cell>
          <cell r="BW6924">
            <v>0</v>
          </cell>
        </row>
        <row r="6925">
          <cell r="L6925" t="str">
            <v>WA2603LT16NA</v>
          </cell>
          <cell r="BW6925">
            <v>0</v>
          </cell>
        </row>
        <row r="6926">
          <cell r="L6926" t="str">
            <v>WA2603LT16NA</v>
          </cell>
          <cell r="BW6926">
            <v>0</v>
          </cell>
        </row>
        <row r="6927">
          <cell r="L6927" t="str">
            <v>WA2603LT17GR</v>
          </cell>
          <cell r="BW6927">
            <v>0</v>
          </cell>
        </row>
        <row r="6928">
          <cell r="L6928" t="str">
            <v>WA2603LT17GR</v>
          </cell>
          <cell r="BW6928">
            <v>0</v>
          </cell>
        </row>
        <row r="6929">
          <cell r="L6929" t="str">
            <v>WA2603LT17GR</v>
          </cell>
          <cell r="BW6929">
            <v>0</v>
          </cell>
        </row>
        <row r="6930">
          <cell r="L6930" t="str">
            <v>WA2603LT17GR</v>
          </cell>
          <cell r="BW6930">
            <v>0</v>
          </cell>
        </row>
        <row r="6931">
          <cell r="L6931" t="str">
            <v>WA2603LT17NA</v>
          </cell>
          <cell r="BW6931">
            <v>0</v>
          </cell>
        </row>
        <row r="6932">
          <cell r="L6932" t="str">
            <v>WA2603LT17NA</v>
          </cell>
          <cell r="BW6932">
            <v>0</v>
          </cell>
        </row>
        <row r="6933">
          <cell r="L6933" t="str">
            <v>WA2603LT17NA</v>
          </cell>
          <cell r="BW6933">
            <v>0</v>
          </cell>
        </row>
        <row r="6934">
          <cell r="L6934" t="str">
            <v>WA2603LT17NA</v>
          </cell>
          <cell r="BW6934">
            <v>0</v>
          </cell>
        </row>
        <row r="6935">
          <cell r="L6935" t="str">
            <v>WA2603LT51NA</v>
          </cell>
          <cell r="BW6935">
            <v>0</v>
          </cell>
        </row>
        <row r="6936">
          <cell r="L6936" t="str">
            <v>WA2603LT51NA</v>
          </cell>
          <cell r="BW6936">
            <v>0</v>
          </cell>
        </row>
        <row r="6937">
          <cell r="L6937" t="str">
            <v>WA2603LT51OT</v>
          </cell>
          <cell r="BW6937">
            <v>0</v>
          </cell>
        </row>
        <row r="6938">
          <cell r="L6938" t="str">
            <v>WA2603LT51OT</v>
          </cell>
          <cell r="BW6938">
            <v>0</v>
          </cell>
        </row>
        <row r="6939">
          <cell r="L6939" t="str">
            <v>WA2603LT51TC</v>
          </cell>
          <cell r="BW6939">
            <v>0</v>
          </cell>
        </row>
        <row r="6940">
          <cell r="L6940" t="str">
            <v>WA2603LT51TC</v>
          </cell>
          <cell r="BW6940">
            <v>0</v>
          </cell>
        </row>
        <row r="6941">
          <cell r="L6941" t="str">
            <v>WA2603LT52NA</v>
          </cell>
          <cell r="BW6941">
            <v>0</v>
          </cell>
        </row>
        <row r="6942">
          <cell r="L6942" t="str">
            <v>WA2603LT52NA</v>
          </cell>
          <cell r="BW6942">
            <v>0</v>
          </cell>
        </row>
        <row r="6943">
          <cell r="L6943" t="str">
            <v>WA2603LT52OT</v>
          </cell>
          <cell r="BW6943">
            <v>0</v>
          </cell>
        </row>
        <row r="6944">
          <cell r="L6944" t="str">
            <v>WA2603LT52OT</v>
          </cell>
          <cell r="BW6944">
            <v>0</v>
          </cell>
        </row>
        <row r="6945">
          <cell r="L6945" t="str">
            <v>WA2603LT52TC</v>
          </cell>
          <cell r="BW6945">
            <v>0</v>
          </cell>
        </row>
        <row r="6946">
          <cell r="L6946" t="str">
            <v>WA2603LT52TC</v>
          </cell>
          <cell r="BW6946">
            <v>0</v>
          </cell>
        </row>
        <row r="6947">
          <cell r="L6947" t="str">
            <v>WA2603LT61WH</v>
          </cell>
          <cell r="BW6947">
            <v>0</v>
          </cell>
        </row>
        <row r="6948">
          <cell r="L6948" t="str">
            <v>WA2603LT62CH</v>
          </cell>
          <cell r="BW6948">
            <v>0</v>
          </cell>
        </row>
        <row r="6949">
          <cell r="L6949" t="str">
            <v>WA2603LT62OT</v>
          </cell>
          <cell r="BW6949">
            <v>0</v>
          </cell>
        </row>
        <row r="6950">
          <cell r="L6950" t="str">
            <v>WA2603LT63NA</v>
          </cell>
          <cell r="BW6950">
            <v>0</v>
          </cell>
        </row>
        <row r="6951">
          <cell r="L6951" t="str">
            <v>WA2603LT63OT</v>
          </cell>
          <cell r="BW6951">
            <v>0</v>
          </cell>
        </row>
        <row r="6952">
          <cell r="L6952" t="str">
            <v>WA2603LT64BR</v>
          </cell>
          <cell r="BW6952">
            <v>0</v>
          </cell>
        </row>
        <row r="6953">
          <cell r="L6953" t="str">
            <v>WA2603LT64BR</v>
          </cell>
          <cell r="BW6953">
            <v>0</v>
          </cell>
        </row>
        <row r="6954">
          <cell r="L6954" t="str">
            <v>WA2603LT64LB</v>
          </cell>
          <cell r="BW6954">
            <v>0</v>
          </cell>
        </row>
        <row r="6955">
          <cell r="L6955" t="str">
            <v>WA2603LT64LB</v>
          </cell>
          <cell r="BW6955">
            <v>0</v>
          </cell>
        </row>
        <row r="6956">
          <cell r="L6956" t="str">
            <v>WA2603MU01BL</v>
          </cell>
          <cell r="BW6956">
            <v>0</v>
          </cell>
        </row>
        <row r="6957">
          <cell r="L6957" t="str">
            <v>WA2603MU02GR</v>
          </cell>
          <cell r="BW6957">
            <v>0</v>
          </cell>
        </row>
        <row r="6958">
          <cell r="L6958" t="str">
            <v>WA2603MU03GR</v>
          </cell>
          <cell r="BW6958">
            <v>0</v>
          </cell>
        </row>
        <row r="6959">
          <cell r="L6959" t="str">
            <v>WA2603MU04YE</v>
          </cell>
          <cell r="BW6959">
            <v>0</v>
          </cell>
        </row>
        <row r="6960">
          <cell r="L6960" t="str">
            <v>WA2603MU05BR</v>
          </cell>
          <cell r="BW6960">
            <v>0</v>
          </cell>
        </row>
        <row r="6961">
          <cell r="L6961" t="str">
            <v>WA2603MU05IV</v>
          </cell>
          <cell r="BW6961">
            <v>0</v>
          </cell>
        </row>
        <row r="6962">
          <cell r="L6962" t="str">
            <v>WA2603PT12BK</v>
          </cell>
          <cell r="BW6962">
            <v>0</v>
          </cell>
        </row>
        <row r="6963">
          <cell r="L6963" t="str">
            <v>WA2603PT12BK</v>
          </cell>
          <cell r="BW6963">
            <v>0</v>
          </cell>
        </row>
        <row r="6964">
          <cell r="L6964" t="str">
            <v>WA2603PT12BK</v>
          </cell>
          <cell r="BW6964">
            <v>0</v>
          </cell>
        </row>
        <row r="6965">
          <cell r="L6965" t="str">
            <v>WA2603PT12BK</v>
          </cell>
          <cell r="BW6965">
            <v>0</v>
          </cell>
        </row>
        <row r="6966">
          <cell r="L6966" t="str">
            <v>WA2603PT12BR</v>
          </cell>
          <cell r="BW6966">
            <v>0</v>
          </cell>
        </row>
        <row r="6967">
          <cell r="L6967" t="str">
            <v>WA2603PT12BR</v>
          </cell>
          <cell r="BW6967">
            <v>0</v>
          </cell>
        </row>
        <row r="6968">
          <cell r="L6968" t="str">
            <v>WA2603PT12BR</v>
          </cell>
          <cell r="BW6968">
            <v>0</v>
          </cell>
        </row>
        <row r="6969">
          <cell r="L6969" t="str">
            <v>WA2603PT12BR</v>
          </cell>
          <cell r="BW6969">
            <v>0</v>
          </cell>
        </row>
        <row r="6970">
          <cell r="L6970" t="str">
            <v>WA2603PT12IN</v>
          </cell>
          <cell r="BW6970">
            <v>0</v>
          </cell>
        </row>
        <row r="6971">
          <cell r="L6971" t="str">
            <v>WA2603PT12IN</v>
          </cell>
          <cell r="BW6971">
            <v>0</v>
          </cell>
        </row>
        <row r="6972">
          <cell r="L6972" t="str">
            <v>WA2603PT12IN</v>
          </cell>
          <cell r="BW6972">
            <v>0</v>
          </cell>
        </row>
        <row r="6973">
          <cell r="L6973" t="str">
            <v>WA2603PT12IN</v>
          </cell>
          <cell r="BW6973">
            <v>0</v>
          </cell>
        </row>
        <row r="6974">
          <cell r="L6974" t="str">
            <v>WA2603PT13GR</v>
          </cell>
          <cell r="BW6974">
            <v>0</v>
          </cell>
        </row>
        <row r="6975">
          <cell r="L6975" t="str">
            <v>WA2603PT13GR</v>
          </cell>
          <cell r="BW6975">
            <v>0</v>
          </cell>
        </row>
        <row r="6976">
          <cell r="L6976" t="str">
            <v>WA2603PT13GR</v>
          </cell>
          <cell r="BW6976">
            <v>0</v>
          </cell>
        </row>
        <row r="6977">
          <cell r="L6977" t="str">
            <v>WA2603PT13GR</v>
          </cell>
          <cell r="BW6977">
            <v>0</v>
          </cell>
        </row>
        <row r="6978">
          <cell r="L6978" t="str">
            <v>WA2603PT15BE</v>
          </cell>
          <cell r="BW6978">
            <v>0</v>
          </cell>
        </row>
        <row r="6979">
          <cell r="L6979" t="str">
            <v>WA2603PT15BE</v>
          </cell>
          <cell r="BW6979">
            <v>0</v>
          </cell>
        </row>
        <row r="6980">
          <cell r="L6980" t="str">
            <v>WA2603PT15BE</v>
          </cell>
          <cell r="BW6980">
            <v>0</v>
          </cell>
        </row>
        <row r="6981">
          <cell r="L6981" t="str">
            <v>WA2603PT15BE</v>
          </cell>
          <cell r="BW6981">
            <v>0</v>
          </cell>
        </row>
        <row r="6982">
          <cell r="L6982" t="str">
            <v>WA2603PT15BK</v>
          </cell>
          <cell r="BW6982">
            <v>0</v>
          </cell>
        </row>
        <row r="6983">
          <cell r="L6983" t="str">
            <v>WA2603PT15BK</v>
          </cell>
          <cell r="BW6983">
            <v>0</v>
          </cell>
        </row>
        <row r="6984">
          <cell r="L6984" t="str">
            <v>WA2603PT15BK</v>
          </cell>
          <cell r="BW6984">
            <v>0</v>
          </cell>
        </row>
        <row r="6985">
          <cell r="L6985" t="str">
            <v>WA2603PT15BK</v>
          </cell>
          <cell r="BW6985">
            <v>0</v>
          </cell>
        </row>
        <row r="6986">
          <cell r="L6986" t="str">
            <v>WA2603PT15TC</v>
          </cell>
          <cell r="BW6986">
            <v>0</v>
          </cell>
        </row>
        <row r="6987">
          <cell r="L6987" t="str">
            <v>WA2603PT15TC</v>
          </cell>
          <cell r="BW6987">
            <v>0</v>
          </cell>
        </row>
        <row r="6988">
          <cell r="L6988" t="str">
            <v>WA2603PT15TC</v>
          </cell>
          <cell r="BW6988">
            <v>0</v>
          </cell>
        </row>
        <row r="6989">
          <cell r="L6989" t="str">
            <v>WA2603PT15TC</v>
          </cell>
          <cell r="BW6989">
            <v>0</v>
          </cell>
        </row>
        <row r="6990">
          <cell r="L6990" t="str">
            <v>WA2603PT18CH</v>
          </cell>
          <cell r="BW6990">
            <v>0</v>
          </cell>
        </row>
        <row r="6991">
          <cell r="L6991" t="str">
            <v>WA2603PT18CH</v>
          </cell>
          <cell r="BW6991">
            <v>0</v>
          </cell>
        </row>
        <row r="6992">
          <cell r="L6992" t="str">
            <v>WA2603PT18CH</v>
          </cell>
          <cell r="BW6992">
            <v>0</v>
          </cell>
        </row>
        <row r="6993">
          <cell r="L6993" t="str">
            <v>WA2603PT18CH</v>
          </cell>
          <cell r="BW6993">
            <v>0</v>
          </cell>
        </row>
        <row r="6994">
          <cell r="L6994" t="str">
            <v>WA2603PT18DK</v>
          </cell>
          <cell r="BW6994">
            <v>0</v>
          </cell>
        </row>
        <row r="6995">
          <cell r="L6995" t="str">
            <v>WA2603PT18DK</v>
          </cell>
          <cell r="BW6995">
            <v>0</v>
          </cell>
        </row>
        <row r="6996">
          <cell r="L6996" t="str">
            <v>WA2603PT18DK</v>
          </cell>
          <cell r="BW6996">
            <v>0</v>
          </cell>
        </row>
        <row r="6997">
          <cell r="L6997" t="str">
            <v>WA2603PT31BK</v>
          </cell>
          <cell r="BW6997">
            <v>0</v>
          </cell>
        </row>
        <row r="6998">
          <cell r="L6998" t="str">
            <v>WA2603PT31BK</v>
          </cell>
          <cell r="BW6998">
            <v>0</v>
          </cell>
        </row>
        <row r="6999">
          <cell r="L6999" t="str">
            <v>WA2603PT31BK</v>
          </cell>
          <cell r="BW6999">
            <v>0</v>
          </cell>
        </row>
        <row r="7000">
          <cell r="L7000" t="str">
            <v>WA2603PT31BK</v>
          </cell>
          <cell r="BW7000">
            <v>0</v>
          </cell>
        </row>
        <row r="7001">
          <cell r="L7001" t="str">
            <v>WA2603PT31IN</v>
          </cell>
          <cell r="BW7001">
            <v>0</v>
          </cell>
        </row>
        <row r="7002">
          <cell r="L7002" t="str">
            <v>WA2603PT31IN</v>
          </cell>
          <cell r="BW7002">
            <v>0</v>
          </cell>
        </row>
        <row r="7003">
          <cell r="L7003" t="str">
            <v>WA2603PT31IN</v>
          </cell>
          <cell r="BW7003">
            <v>0</v>
          </cell>
        </row>
        <row r="7004">
          <cell r="L7004" t="str">
            <v>WA2603PT31IN</v>
          </cell>
          <cell r="BW7004">
            <v>0</v>
          </cell>
        </row>
        <row r="7005">
          <cell r="L7005" t="str">
            <v>WA2603PT31PI</v>
          </cell>
          <cell r="BW7005">
            <v>0</v>
          </cell>
        </row>
        <row r="7006">
          <cell r="L7006" t="str">
            <v>WA2603PT31PI</v>
          </cell>
          <cell r="BW7006">
            <v>0</v>
          </cell>
        </row>
        <row r="7007">
          <cell r="L7007" t="str">
            <v>WA2603PT31PI</v>
          </cell>
          <cell r="BW7007">
            <v>0</v>
          </cell>
        </row>
        <row r="7008">
          <cell r="L7008" t="str">
            <v>WA2603PT31PI</v>
          </cell>
          <cell r="BW7008">
            <v>0</v>
          </cell>
        </row>
        <row r="7009">
          <cell r="L7009" t="str">
            <v>WA2603PT32BK</v>
          </cell>
          <cell r="BW7009">
            <v>0</v>
          </cell>
        </row>
        <row r="7010">
          <cell r="L7010" t="str">
            <v>WA2603PT32BK</v>
          </cell>
          <cell r="BW7010">
            <v>0</v>
          </cell>
        </row>
        <row r="7011">
          <cell r="L7011" t="str">
            <v>WA2603PT32BK</v>
          </cell>
          <cell r="BW7011">
            <v>0</v>
          </cell>
        </row>
        <row r="7012">
          <cell r="L7012" t="str">
            <v>WA2603PT32BK</v>
          </cell>
          <cell r="BW7012">
            <v>0</v>
          </cell>
        </row>
        <row r="7013">
          <cell r="L7013" t="str">
            <v>WA2603PT32IN</v>
          </cell>
          <cell r="BW7013">
            <v>0</v>
          </cell>
        </row>
        <row r="7014">
          <cell r="L7014" t="str">
            <v>WA2603PT32IN</v>
          </cell>
          <cell r="BW7014">
            <v>0</v>
          </cell>
        </row>
        <row r="7015">
          <cell r="L7015" t="str">
            <v>WA2603PT32IN</v>
          </cell>
          <cell r="BW7015">
            <v>0</v>
          </cell>
        </row>
        <row r="7016">
          <cell r="L7016" t="str">
            <v>WA2603PT32IN</v>
          </cell>
          <cell r="BW7016">
            <v>0</v>
          </cell>
        </row>
        <row r="7017">
          <cell r="L7017" t="str">
            <v>WA2603PT32IR</v>
          </cell>
          <cell r="BW7017">
            <v>0</v>
          </cell>
        </row>
        <row r="7018">
          <cell r="L7018" t="str">
            <v>WA2603PT32IR</v>
          </cell>
          <cell r="BW7018">
            <v>0</v>
          </cell>
        </row>
        <row r="7019">
          <cell r="L7019" t="str">
            <v>WA2603PT32IR</v>
          </cell>
          <cell r="BW7019">
            <v>0</v>
          </cell>
        </row>
        <row r="7020">
          <cell r="L7020" t="str">
            <v>WA2603PT32IR</v>
          </cell>
          <cell r="BW7020">
            <v>0</v>
          </cell>
        </row>
        <row r="7021">
          <cell r="L7021" t="str">
            <v>WA2603PT32TC</v>
          </cell>
          <cell r="BW7021">
            <v>0</v>
          </cell>
        </row>
        <row r="7022">
          <cell r="L7022" t="str">
            <v>WA2603PT32TC</v>
          </cell>
          <cell r="BW7022">
            <v>0</v>
          </cell>
        </row>
        <row r="7023">
          <cell r="L7023" t="str">
            <v>WA2603PT32TC</v>
          </cell>
          <cell r="BW7023">
            <v>0</v>
          </cell>
        </row>
        <row r="7024">
          <cell r="L7024" t="str">
            <v>WA2603PT32TC</v>
          </cell>
          <cell r="BW7024">
            <v>0</v>
          </cell>
        </row>
        <row r="7025">
          <cell r="L7025" t="str">
            <v>WA2603PT33BK</v>
          </cell>
          <cell r="BW7025">
            <v>0</v>
          </cell>
        </row>
        <row r="7026">
          <cell r="L7026" t="str">
            <v>WA2603PT33BK</v>
          </cell>
          <cell r="BW7026">
            <v>0</v>
          </cell>
        </row>
        <row r="7027">
          <cell r="L7027" t="str">
            <v>WA2603PT33BK</v>
          </cell>
          <cell r="BW7027">
            <v>0</v>
          </cell>
        </row>
        <row r="7028">
          <cell r="L7028" t="str">
            <v>WA2603PT33BK</v>
          </cell>
          <cell r="BW7028">
            <v>0</v>
          </cell>
        </row>
        <row r="7029">
          <cell r="L7029" t="str">
            <v>WA2603PT33IN</v>
          </cell>
          <cell r="BW7029">
            <v>0</v>
          </cell>
        </row>
        <row r="7030">
          <cell r="L7030" t="str">
            <v>WA2603PT33IN</v>
          </cell>
          <cell r="BW7030">
            <v>0</v>
          </cell>
        </row>
        <row r="7031">
          <cell r="L7031" t="str">
            <v>WA2603PT33IN</v>
          </cell>
          <cell r="BW7031">
            <v>0</v>
          </cell>
        </row>
        <row r="7032">
          <cell r="L7032" t="str">
            <v>WA2603PT33IN</v>
          </cell>
          <cell r="BW7032">
            <v>0</v>
          </cell>
        </row>
        <row r="7033">
          <cell r="L7033" t="str">
            <v>WA2603PT36BK</v>
          </cell>
          <cell r="BW7033">
            <v>0</v>
          </cell>
        </row>
        <row r="7034">
          <cell r="L7034" t="str">
            <v>WA2603PT36BK</v>
          </cell>
          <cell r="BW7034">
            <v>0</v>
          </cell>
        </row>
        <row r="7035">
          <cell r="L7035" t="str">
            <v>WA2603PT36BK</v>
          </cell>
          <cell r="BW7035">
            <v>0</v>
          </cell>
        </row>
        <row r="7036">
          <cell r="L7036" t="str">
            <v>WA2603PT36BK</v>
          </cell>
          <cell r="BW7036">
            <v>0</v>
          </cell>
        </row>
        <row r="7037">
          <cell r="L7037" t="str">
            <v>WA2603PT36BL</v>
          </cell>
          <cell r="BW7037">
            <v>0</v>
          </cell>
        </row>
        <row r="7038">
          <cell r="L7038" t="str">
            <v>WA2603PT36BL</v>
          </cell>
          <cell r="BW7038">
            <v>0</v>
          </cell>
        </row>
        <row r="7039">
          <cell r="L7039" t="str">
            <v>WA2603PT36BL</v>
          </cell>
          <cell r="BW7039">
            <v>0</v>
          </cell>
        </row>
        <row r="7040">
          <cell r="L7040" t="str">
            <v>WA2603PT36BL</v>
          </cell>
          <cell r="BW7040">
            <v>0</v>
          </cell>
        </row>
        <row r="7041">
          <cell r="L7041" t="str">
            <v>WA2603PT37BK</v>
          </cell>
          <cell r="BW7041">
            <v>0</v>
          </cell>
        </row>
        <row r="7042">
          <cell r="L7042" t="str">
            <v>WA2603PT37BK</v>
          </cell>
          <cell r="BW7042">
            <v>0</v>
          </cell>
        </row>
        <row r="7043">
          <cell r="L7043" t="str">
            <v>WA2603PT37BK</v>
          </cell>
          <cell r="BW7043">
            <v>0</v>
          </cell>
        </row>
        <row r="7044">
          <cell r="L7044" t="str">
            <v>WA2603PT51LG</v>
          </cell>
          <cell r="BW7044">
            <v>0</v>
          </cell>
        </row>
        <row r="7045">
          <cell r="L7045" t="str">
            <v>WA2603PT51LG</v>
          </cell>
          <cell r="BW7045">
            <v>0</v>
          </cell>
        </row>
        <row r="7046">
          <cell r="L7046" t="str">
            <v>WA2603PT51LP</v>
          </cell>
          <cell r="BW7046">
            <v>0</v>
          </cell>
        </row>
        <row r="7047">
          <cell r="L7047" t="str">
            <v>WA2603PT51LP</v>
          </cell>
          <cell r="BW7047">
            <v>0</v>
          </cell>
        </row>
        <row r="7048">
          <cell r="L7048" t="str">
            <v>WA2603PT51NA</v>
          </cell>
          <cell r="BW7048">
            <v>0</v>
          </cell>
        </row>
        <row r="7049">
          <cell r="L7049" t="str">
            <v>WA2603PT51NA</v>
          </cell>
          <cell r="BW7049">
            <v>0</v>
          </cell>
        </row>
        <row r="7050">
          <cell r="L7050" t="str">
            <v>WA2603PT55BL</v>
          </cell>
          <cell r="BW7050">
            <v>0</v>
          </cell>
        </row>
        <row r="7051">
          <cell r="L7051" t="str">
            <v>WA2603PT55BL</v>
          </cell>
          <cell r="BW7051">
            <v>0</v>
          </cell>
        </row>
        <row r="7052">
          <cell r="L7052" t="str">
            <v>WA2603PT55GR</v>
          </cell>
          <cell r="BW7052">
            <v>0</v>
          </cell>
        </row>
        <row r="7053">
          <cell r="L7053" t="str">
            <v>WA2603PT55GR</v>
          </cell>
          <cell r="BW7053">
            <v>0</v>
          </cell>
        </row>
        <row r="7054">
          <cell r="L7054" t="str">
            <v>WA2603PT61CM</v>
          </cell>
          <cell r="BW7054">
            <v>0</v>
          </cell>
        </row>
        <row r="7055">
          <cell r="L7055" t="str">
            <v>WA2603PT61CM</v>
          </cell>
          <cell r="BW7055">
            <v>0</v>
          </cell>
        </row>
        <row r="7056">
          <cell r="L7056" t="str">
            <v>WA2603PT61PI</v>
          </cell>
          <cell r="BW7056">
            <v>0</v>
          </cell>
        </row>
        <row r="7057">
          <cell r="L7057" t="str">
            <v>WA2603PT61PI</v>
          </cell>
          <cell r="BW7057">
            <v>0</v>
          </cell>
        </row>
        <row r="7058">
          <cell r="L7058" t="str">
            <v>WA2603PT62BR</v>
          </cell>
          <cell r="BW7058">
            <v>0</v>
          </cell>
        </row>
        <row r="7059">
          <cell r="L7059" t="str">
            <v>WA2603PT62BR</v>
          </cell>
          <cell r="BW7059">
            <v>0</v>
          </cell>
        </row>
        <row r="7060">
          <cell r="L7060" t="str">
            <v>WA2603PT62NA</v>
          </cell>
          <cell r="BW7060">
            <v>0</v>
          </cell>
        </row>
        <row r="7061">
          <cell r="L7061" t="str">
            <v>WA2603PT62NA</v>
          </cell>
          <cell r="BW7061">
            <v>0</v>
          </cell>
        </row>
        <row r="7062">
          <cell r="L7062" t="str">
            <v>WA2603PT64BL</v>
          </cell>
          <cell r="BW7062">
            <v>0</v>
          </cell>
        </row>
        <row r="7063">
          <cell r="L7063" t="str">
            <v>WA2603PT64BL</v>
          </cell>
          <cell r="BW7063">
            <v>0</v>
          </cell>
        </row>
        <row r="7064">
          <cell r="L7064" t="str">
            <v>WA2603PT64PI</v>
          </cell>
          <cell r="BW7064">
            <v>0</v>
          </cell>
        </row>
        <row r="7065">
          <cell r="L7065" t="str">
            <v>WA2603PT64PI</v>
          </cell>
          <cell r="BW7065">
            <v>0</v>
          </cell>
        </row>
        <row r="7066">
          <cell r="L7066" t="str">
            <v>WA2603PT66CH</v>
          </cell>
          <cell r="BW7066">
            <v>0</v>
          </cell>
        </row>
        <row r="7067">
          <cell r="L7067" t="str">
            <v>WA2603PT66CH</v>
          </cell>
          <cell r="BW7067">
            <v>0</v>
          </cell>
        </row>
        <row r="7068">
          <cell r="L7068" t="str">
            <v>WA2603PT66GR</v>
          </cell>
          <cell r="BW7068">
            <v>0</v>
          </cell>
        </row>
        <row r="7069">
          <cell r="L7069" t="str">
            <v>WA2603PT66GR</v>
          </cell>
          <cell r="BW7069">
            <v>0</v>
          </cell>
        </row>
        <row r="7070">
          <cell r="L7070" t="str">
            <v>WA2603PT67BK</v>
          </cell>
          <cell r="BW7070">
            <v>0</v>
          </cell>
        </row>
        <row r="7071">
          <cell r="L7071" t="str">
            <v>WA2603PT67BK</v>
          </cell>
          <cell r="BW7071">
            <v>0</v>
          </cell>
        </row>
        <row r="7072">
          <cell r="L7072" t="str">
            <v>WA2603PT67PU</v>
          </cell>
          <cell r="BW7072">
            <v>0</v>
          </cell>
        </row>
        <row r="7073">
          <cell r="L7073" t="str">
            <v>WA2603PT67PU</v>
          </cell>
          <cell r="BW7073">
            <v>0</v>
          </cell>
        </row>
        <row r="7074">
          <cell r="L7074" t="str">
            <v>WA2603PT69BR</v>
          </cell>
          <cell r="BW7074">
            <v>0</v>
          </cell>
        </row>
        <row r="7075">
          <cell r="L7075" t="str">
            <v>WA2603PT69BR</v>
          </cell>
          <cell r="BW7075">
            <v>0</v>
          </cell>
        </row>
        <row r="7076">
          <cell r="L7076" t="str">
            <v>WA2603PT69GR</v>
          </cell>
          <cell r="BW7076">
            <v>0</v>
          </cell>
        </row>
        <row r="7077">
          <cell r="L7077" t="str">
            <v>WA2603PT69GR</v>
          </cell>
          <cell r="BW7077">
            <v>0</v>
          </cell>
        </row>
        <row r="7078">
          <cell r="L7078" t="str">
            <v>WA2603PT75BL</v>
          </cell>
          <cell r="BW7078">
            <v>0</v>
          </cell>
        </row>
        <row r="7079">
          <cell r="L7079" t="str">
            <v>WA2603PT75BL</v>
          </cell>
          <cell r="BW7079">
            <v>0</v>
          </cell>
        </row>
        <row r="7080">
          <cell r="L7080" t="str">
            <v>WA2603PT75BL</v>
          </cell>
          <cell r="BW7080">
            <v>0</v>
          </cell>
        </row>
        <row r="7081">
          <cell r="L7081" t="str">
            <v>WA2603PT75DG</v>
          </cell>
          <cell r="BW7081">
            <v>0</v>
          </cell>
        </row>
        <row r="7082">
          <cell r="L7082" t="str">
            <v>WA2603PT75DG</v>
          </cell>
          <cell r="BW7082">
            <v>0</v>
          </cell>
        </row>
        <row r="7083">
          <cell r="L7083" t="str">
            <v>WA2603PT75DG</v>
          </cell>
          <cell r="BW7083">
            <v>0</v>
          </cell>
        </row>
        <row r="7084">
          <cell r="L7084" t="str">
            <v>WA2603PT76BL</v>
          </cell>
          <cell r="BW7084">
            <v>0</v>
          </cell>
        </row>
        <row r="7085">
          <cell r="L7085" t="str">
            <v>WA2603PT76BL</v>
          </cell>
          <cell r="BW7085">
            <v>0</v>
          </cell>
        </row>
        <row r="7086">
          <cell r="L7086" t="str">
            <v>WA2603PT76GR</v>
          </cell>
          <cell r="BW7086">
            <v>0</v>
          </cell>
        </row>
        <row r="7087">
          <cell r="L7087" t="str">
            <v>WA2603PT76GR</v>
          </cell>
          <cell r="BW7087">
            <v>0</v>
          </cell>
        </row>
        <row r="7088">
          <cell r="L7088" t="str">
            <v>WA2603PT77PI</v>
          </cell>
          <cell r="BW7088">
            <v>0</v>
          </cell>
        </row>
        <row r="7089">
          <cell r="L7089" t="str">
            <v>WA2603PT77PI</v>
          </cell>
          <cell r="BW7089">
            <v>0</v>
          </cell>
        </row>
        <row r="7090">
          <cell r="L7090" t="str">
            <v>WA2603SH12BE</v>
          </cell>
          <cell r="BW7090">
            <v>0</v>
          </cell>
        </row>
        <row r="7091">
          <cell r="L7091" t="str">
            <v>WA2603SH12BE</v>
          </cell>
          <cell r="BW7091">
            <v>0</v>
          </cell>
        </row>
        <row r="7092">
          <cell r="L7092" t="str">
            <v>WA2603SH12BE</v>
          </cell>
          <cell r="BW7092">
            <v>0</v>
          </cell>
        </row>
        <row r="7093">
          <cell r="L7093" t="str">
            <v>WA2603SH12BE</v>
          </cell>
          <cell r="BW7093">
            <v>0</v>
          </cell>
        </row>
        <row r="7094">
          <cell r="L7094" t="str">
            <v>WA2603SH12DB</v>
          </cell>
          <cell r="BW7094">
            <v>0</v>
          </cell>
        </row>
        <row r="7095">
          <cell r="L7095" t="str">
            <v>WA2603SH12DB</v>
          </cell>
          <cell r="BW7095">
            <v>0</v>
          </cell>
        </row>
        <row r="7096">
          <cell r="L7096" t="str">
            <v>WA2603SH12DB</v>
          </cell>
          <cell r="BW7096">
            <v>0</v>
          </cell>
        </row>
        <row r="7097">
          <cell r="L7097" t="str">
            <v>WA2603SH12DB</v>
          </cell>
          <cell r="BW7097">
            <v>0</v>
          </cell>
        </row>
        <row r="7098">
          <cell r="L7098" t="str">
            <v>WA2603SH13BL</v>
          </cell>
          <cell r="BW7098">
            <v>0</v>
          </cell>
        </row>
        <row r="7099">
          <cell r="L7099" t="str">
            <v>WA2603SH13BL</v>
          </cell>
          <cell r="BW7099">
            <v>0</v>
          </cell>
        </row>
        <row r="7100">
          <cell r="L7100" t="str">
            <v>WA2603SH13BL</v>
          </cell>
          <cell r="BW7100">
            <v>0</v>
          </cell>
        </row>
        <row r="7101">
          <cell r="L7101" t="str">
            <v>WA2603SH13BL</v>
          </cell>
          <cell r="BW7101">
            <v>0</v>
          </cell>
        </row>
        <row r="7102">
          <cell r="L7102" t="str">
            <v>WA2603SH13PI</v>
          </cell>
          <cell r="BW7102">
            <v>0</v>
          </cell>
        </row>
        <row r="7103">
          <cell r="L7103" t="str">
            <v>WA2603SH13PI</v>
          </cell>
          <cell r="BW7103">
            <v>0</v>
          </cell>
        </row>
        <row r="7104">
          <cell r="L7104" t="str">
            <v>WA2603SH13PI</v>
          </cell>
          <cell r="BW7104">
            <v>0</v>
          </cell>
        </row>
        <row r="7105">
          <cell r="L7105" t="str">
            <v>WA2603SH13PI</v>
          </cell>
          <cell r="BW7105">
            <v>0</v>
          </cell>
        </row>
        <row r="7106">
          <cell r="L7106" t="str">
            <v>WA2603SH14BL</v>
          </cell>
          <cell r="BW7106">
            <v>0</v>
          </cell>
        </row>
        <row r="7107">
          <cell r="L7107" t="str">
            <v>WA2603SH14BL</v>
          </cell>
          <cell r="BW7107">
            <v>0</v>
          </cell>
        </row>
        <row r="7108">
          <cell r="L7108" t="str">
            <v>WA2603SH14BL</v>
          </cell>
          <cell r="BW7108">
            <v>0</v>
          </cell>
        </row>
        <row r="7109">
          <cell r="L7109" t="str">
            <v>WA2603SH14BL</v>
          </cell>
          <cell r="BW7109">
            <v>0</v>
          </cell>
        </row>
        <row r="7110">
          <cell r="L7110" t="str">
            <v>WA2603SH14YE</v>
          </cell>
          <cell r="BW7110">
            <v>0</v>
          </cell>
        </row>
        <row r="7111">
          <cell r="L7111" t="str">
            <v>WA2603SH14YE</v>
          </cell>
          <cell r="BW7111">
            <v>0</v>
          </cell>
        </row>
        <row r="7112">
          <cell r="L7112" t="str">
            <v>WA2603SH14YE</v>
          </cell>
          <cell r="BW7112">
            <v>0</v>
          </cell>
        </row>
        <row r="7113">
          <cell r="L7113" t="str">
            <v>WA2603SH15CH</v>
          </cell>
          <cell r="BW7113">
            <v>0</v>
          </cell>
        </row>
        <row r="7114">
          <cell r="L7114" t="str">
            <v>WA2603SH15CH</v>
          </cell>
          <cell r="BW7114">
            <v>0</v>
          </cell>
        </row>
        <row r="7115">
          <cell r="L7115" t="str">
            <v>WA2603SH15CH</v>
          </cell>
          <cell r="BW7115">
            <v>0</v>
          </cell>
        </row>
        <row r="7116">
          <cell r="L7116" t="str">
            <v>WA2603SH15CH</v>
          </cell>
          <cell r="BW7116">
            <v>0</v>
          </cell>
        </row>
        <row r="7117">
          <cell r="L7117" t="str">
            <v>WA2603SH15RD</v>
          </cell>
          <cell r="BW7117">
            <v>0</v>
          </cell>
        </row>
        <row r="7118">
          <cell r="L7118" t="str">
            <v>WA2603SH15RD</v>
          </cell>
          <cell r="BW7118">
            <v>0</v>
          </cell>
        </row>
        <row r="7119">
          <cell r="L7119" t="str">
            <v>WA2603SH15RD</v>
          </cell>
          <cell r="BW7119">
            <v>0</v>
          </cell>
        </row>
        <row r="7120">
          <cell r="L7120" t="str">
            <v>WA2603SH15RD</v>
          </cell>
          <cell r="BW7120">
            <v>0</v>
          </cell>
        </row>
        <row r="7121">
          <cell r="L7121" t="str">
            <v>WA2603SH16BK</v>
          </cell>
          <cell r="BW7121">
            <v>0</v>
          </cell>
        </row>
        <row r="7122">
          <cell r="L7122" t="str">
            <v>WA2603SH16BK</v>
          </cell>
          <cell r="BW7122">
            <v>0</v>
          </cell>
        </row>
        <row r="7123">
          <cell r="L7123" t="str">
            <v>WA2603SH16BK</v>
          </cell>
          <cell r="BW7123">
            <v>0</v>
          </cell>
        </row>
        <row r="7124">
          <cell r="L7124" t="str">
            <v>WA2603SH16BK</v>
          </cell>
          <cell r="BW7124">
            <v>0</v>
          </cell>
        </row>
        <row r="7125">
          <cell r="L7125" t="str">
            <v>WA2603SH16CE</v>
          </cell>
          <cell r="BW7125">
            <v>0</v>
          </cell>
        </row>
        <row r="7126">
          <cell r="L7126" t="str">
            <v>WA2603SH16CE</v>
          </cell>
          <cell r="BW7126">
            <v>0</v>
          </cell>
        </row>
        <row r="7127">
          <cell r="L7127" t="str">
            <v>WA2603SH16CE</v>
          </cell>
          <cell r="BW7127">
            <v>0</v>
          </cell>
        </row>
        <row r="7128">
          <cell r="L7128" t="str">
            <v>WA2603SH16CE</v>
          </cell>
          <cell r="BW7128">
            <v>0</v>
          </cell>
        </row>
        <row r="7129">
          <cell r="L7129" t="str">
            <v>WA2603SH16CM</v>
          </cell>
          <cell r="BW7129">
            <v>0</v>
          </cell>
        </row>
        <row r="7130">
          <cell r="L7130" t="str">
            <v>WA2603SH16CM</v>
          </cell>
          <cell r="BW7130">
            <v>0</v>
          </cell>
        </row>
        <row r="7131">
          <cell r="L7131" t="str">
            <v>WA2603SH16CM</v>
          </cell>
          <cell r="BW7131">
            <v>0</v>
          </cell>
        </row>
        <row r="7132">
          <cell r="L7132" t="str">
            <v>WA2603SH16CM</v>
          </cell>
          <cell r="BW7132">
            <v>0</v>
          </cell>
        </row>
        <row r="7133">
          <cell r="L7133" t="str">
            <v>WA2603SH31BK</v>
          </cell>
          <cell r="BW7133">
            <v>0</v>
          </cell>
        </row>
        <row r="7134">
          <cell r="L7134" t="str">
            <v>WA2603SH31BK</v>
          </cell>
          <cell r="BW7134">
            <v>0</v>
          </cell>
        </row>
        <row r="7135">
          <cell r="L7135" t="str">
            <v>WA2603SH31BK</v>
          </cell>
          <cell r="BW7135">
            <v>0</v>
          </cell>
        </row>
        <row r="7136">
          <cell r="L7136" t="str">
            <v>WA2603SH31BK</v>
          </cell>
          <cell r="BW7136">
            <v>0</v>
          </cell>
        </row>
        <row r="7137">
          <cell r="L7137" t="str">
            <v>WA2603SH31IN</v>
          </cell>
          <cell r="BW7137">
            <v>0</v>
          </cell>
        </row>
        <row r="7138">
          <cell r="L7138" t="str">
            <v>WA2603SH31IN</v>
          </cell>
          <cell r="BW7138">
            <v>0</v>
          </cell>
        </row>
        <row r="7139">
          <cell r="L7139" t="str">
            <v>WA2603SH31IN</v>
          </cell>
          <cell r="BW7139">
            <v>0</v>
          </cell>
        </row>
        <row r="7140">
          <cell r="L7140" t="str">
            <v>WA2603SH31IN</v>
          </cell>
          <cell r="BW7140">
            <v>0</v>
          </cell>
        </row>
        <row r="7141">
          <cell r="L7141" t="str">
            <v>WA2603SH31LB</v>
          </cell>
          <cell r="BW7141">
            <v>0</v>
          </cell>
        </row>
        <row r="7142">
          <cell r="L7142" t="str">
            <v>WA2603SH31LB</v>
          </cell>
          <cell r="BW7142">
            <v>0</v>
          </cell>
        </row>
        <row r="7143">
          <cell r="L7143" t="str">
            <v>WA2603SH31LB</v>
          </cell>
          <cell r="BW7143">
            <v>0</v>
          </cell>
        </row>
        <row r="7144">
          <cell r="L7144" t="str">
            <v>WA2603SH31LB</v>
          </cell>
          <cell r="BW7144">
            <v>0</v>
          </cell>
        </row>
        <row r="7145">
          <cell r="L7145" t="str">
            <v>WA2603SH61WH</v>
          </cell>
          <cell r="BW7145">
            <v>0</v>
          </cell>
        </row>
        <row r="7146">
          <cell r="L7146" t="str">
            <v>WA2603SH62NA</v>
          </cell>
          <cell r="BW7146">
            <v>0</v>
          </cell>
        </row>
        <row r="7147">
          <cell r="L7147" t="str">
            <v>WA2603SH62NA</v>
          </cell>
          <cell r="BW7147">
            <v>0</v>
          </cell>
        </row>
        <row r="7148">
          <cell r="L7148" t="str">
            <v>WA2603SH64BL</v>
          </cell>
          <cell r="BW7148">
            <v>0</v>
          </cell>
        </row>
        <row r="7149">
          <cell r="L7149" t="str">
            <v>WA2603SK01BE</v>
          </cell>
          <cell r="BW7149">
            <v>0</v>
          </cell>
        </row>
        <row r="7150">
          <cell r="L7150" t="str">
            <v>WA2603SK01CH</v>
          </cell>
          <cell r="BW7150">
            <v>0</v>
          </cell>
        </row>
        <row r="7151">
          <cell r="L7151" t="str">
            <v>WA2603SK02TC</v>
          </cell>
          <cell r="BW7151">
            <v>0</v>
          </cell>
        </row>
        <row r="7152">
          <cell r="L7152" t="str">
            <v>WA2603SK03TC</v>
          </cell>
          <cell r="BW7152">
            <v>0</v>
          </cell>
        </row>
        <row r="7153">
          <cell r="L7153" t="str">
            <v>WA2603SK04TC</v>
          </cell>
          <cell r="BW7153">
            <v>0</v>
          </cell>
        </row>
        <row r="7154">
          <cell r="L7154" t="str">
            <v>WA2603SN01BK</v>
          </cell>
          <cell r="BW7154">
            <v>0</v>
          </cell>
        </row>
        <row r="7155">
          <cell r="L7155" t="str">
            <v>WA2603SN01BK</v>
          </cell>
          <cell r="BW7155">
            <v>0</v>
          </cell>
        </row>
        <row r="7156">
          <cell r="L7156" t="str">
            <v>WA2603SN01BK</v>
          </cell>
          <cell r="BW7156">
            <v>0</v>
          </cell>
        </row>
        <row r="7157">
          <cell r="L7157" t="str">
            <v>WA2603SN01BR</v>
          </cell>
          <cell r="BW7157">
            <v>0</v>
          </cell>
        </row>
        <row r="7158">
          <cell r="L7158" t="str">
            <v>WA2603SN01BR</v>
          </cell>
          <cell r="BW7158">
            <v>0</v>
          </cell>
        </row>
        <row r="7159">
          <cell r="L7159" t="str">
            <v>WA2603SN01BR</v>
          </cell>
          <cell r="BW7159">
            <v>0</v>
          </cell>
        </row>
        <row r="7160">
          <cell r="L7160" t="str">
            <v>WA2603SN02BE</v>
          </cell>
          <cell r="BW7160">
            <v>0</v>
          </cell>
        </row>
        <row r="7161">
          <cell r="L7161" t="str">
            <v>WA2603SN02BE</v>
          </cell>
          <cell r="BW7161">
            <v>0</v>
          </cell>
        </row>
        <row r="7162">
          <cell r="L7162" t="str">
            <v>WA2603SN02BE</v>
          </cell>
          <cell r="BW7162">
            <v>0</v>
          </cell>
        </row>
        <row r="7163">
          <cell r="L7163" t="str">
            <v>WA2603SN02BE</v>
          </cell>
          <cell r="BW7163">
            <v>0</v>
          </cell>
        </row>
        <row r="7164">
          <cell r="L7164" t="str">
            <v>WA2603SN02BE</v>
          </cell>
          <cell r="BW7164">
            <v>0</v>
          </cell>
        </row>
        <row r="7165">
          <cell r="L7165" t="str">
            <v>WA2603SN02BE</v>
          </cell>
          <cell r="BW7165">
            <v>0</v>
          </cell>
        </row>
        <row r="7166">
          <cell r="L7166" t="str">
            <v>WA2603SN02BK</v>
          </cell>
          <cell r="BW7166">
            <v>0</v>
          </cell>
        </row>
        <row r="7167">
          <cell r="L7167" t="str">
            <v>WA2603SN02BK</v>
          </cell>
          <cell r="BW7167">
            <v>0</v>
          </cell>
        </row>
        <row r="7168">
          <cell r="L7168" t="str">
            <v>WA2603SN02BK</v>
          </cell>
          <cell r="BW7168">
            <v>0</v>
          </cell>
        </row>
        <row r="7169">
          <cell r="L7169" t="str">
            <v>WA2603SN02BK</v>
          </cell>
          <cell r="BW7169">
            <v>0</v>
          </cell>
        </row>
        <row r="7170">
          <cell r="L7170" t="str">
            <v>WA2603SN02BK</v>
          </cell>
          <cell r="BW7170">
            <v>0</v>
          </cell>
        </row>
        <row r="7171">
          <cell r="L7171" t="str">
            <v>WA2603SN02BK</v>
          </cell>
          <cell r="BW7171">
            <v>0</v>
          </cell>
        </row>
        <row r="7172">
          <cell r="L7172" t="str">
            <v>WA2603SR55BL</v>
          </cell>
          <cell r="BW7172">
            <v>0</v>
          </cell>
        </row>
        <row r="7173">
          <cell r="L7173" t="str">
            <v>WA2603SR55BL</v>
          </cell>
          <cell r="BW7173">
            <v>0</v>
          </cell>
        </row>
        <row r="7174">
          <cell r="L7174" t="str">
            <v>WA2603SR55GR</v>
          </cell>
          <cell r="BW7174">
            <v>0</v>
          </cell>
        </row>
        <row r="7175">
          <cell r="L7175" t="str">
            <v>WA2603SR55GR</v>
          </cell>
          <cell r="BW7175">
            <v>0</v>
          </cell>
        </row>
        <row r="7176">
          <cell r="L7176" t="str">
            <v>WA2603SR61GR</v>
          </cell>
          <cell r="BW7176">
            <v>0</v>
          </cell>
        </row>
        <row r="7177">
          <cell r="L7177" t="str">
            <v>WA2603SR61GR</v>
          </cell>
          <cell r="BW7177">
            <v>0</v>
          </cell>
        </row>
        <row r="7178">
          <cell r="L7178" t="str">
            <v>WA2603SR61TC</v>
          </cell>
          <cell r="BW7178">
            <v>0</v>
          </cell>
        </row>
        <row r="7179">
          <cell r="L7179" t="str">
            <v>WA2603SR61TC</v>
          </cell>
          <cell r="BW7179">
            <v>0</v>
          </cell>
        </row>
        <row r="7180">
          <cell r="L7180" t="str">
            <v>WA2603SR62TC</v>
          </cell>
          <cell r="BW7180">
            <v>0</v>
          </cell>
        </row>
        <row r="7181">
          <cell r="L7181" t="str">
            <v>WA2603SR62TC</v>
          </cell>
          <cell r="BW7181">
            <v>0</v>
          </cell>
        </row>
        <row r="7182">
          <cell r="L7182" t="str">
            <v>WA2603SR63BK</v>
          </cell>
          <cell r="BW7182">
            <v>0</v>
          </cell>
        </row>
        <row r="7183">
          <cell r="L7183" t="str">
            <v>WA2603SR63BK</v>
          </cell>
          <cell r="BW7183">
            <v>0</v>
          </cell>
        </row>
        <row r="7184">
          <cell r="L7184" t="str">
            <v>WA2603SR63CM</v>
          </cell>
          <cell r="BW7184">
            <v>0</v>
          </cell>
        </row>
        <row r="7185">
          <cell r="L7185" t="str">
            <v>WA2603SR63CM</v>
          </cell>
          <cell r="BW7185">
            <v>0</v>
          </cell>
        </row>
        <row r="7186">
          <cell r="L7186" t="str">
            <v>WA2603SR63GN</v>
          </cell>
          <cell r="BW7186">
            <v>0</v>
          </cell>
        </row>
        <row r="7187">
          <cell r="L7187" t="str">
            <v>WA2603SR63GN</v>
          </cell>
          <cell r="BW7187">
            <v>0</v>
          </cell>
        </row>
        <row r="7188">
          <cell r="L7188" t="str">
            <v>WA2603SR64BR</v>
          </cell>
          <cell r="BW7188">
            <v>0</v>
          </cell>
        </row>
        <row r="7189">
          <cell r="L7189" t="str">
            <v>WA2603SR64BR</v>
          </cell>
          <cell r="BW7189">
            <v>0</v>
          </cell>
        </row>
        <row r="7190">
          <cell r="L7190" t="str">
            <v>WA2603STW4LP</v>
          </cell>
          <cell r="BW7190">
            <v>0</v>
          </cell>
        </row>
        <row r="7191">
          <cell r="L7191" t="str">
            <v>WA2603STW4LP</v>
          </cell>
          <cell r="BW7191">
            <v>0</v>
          </cell>
        </row>
        <row r="7192">
          <cell r="L7192" t="str">
            <v>WA2603STW4OT</v>
          </cell>
          <cell r="BW7192">
            <v>0</v>
          </cell>
        </row>
        <row r="7193">
          <cell r="L7193" t="str">
            <v>WA2603STW4OT</v>
          </cell>
          <cell r="BW7193">
            <v>0</v>
          </cell>
        </row>
        <row r="7194">
          <cell r="L7194" t="str">
            <v>WA2603STW5NA</v>
          </cell>
          <cell r="BW7194">
            <v>0</v>
          </cell>
        </row>
        <row r="7195">
          <cell r="L7195" t="str">
            <v>WA2603STW5NA</v>
          </cell>
          <cell r="BW7195">
            <v>0</v>
          </cell>
        </row>
        <row r="7196">
          <cell r="L7196" t="str">
            <v>WA2603STW5SB</v>
          </cell>
          <cell r="BW7196">
            <v>0</v>
          </cell>
        </row>
        <row r="7197">
          <cell r="L7197" t="str">
            <v>WA2603STW5SB</v>
          </cell>
          <cell r="BW7197">
            <v>0</v>
          </cell>
        </row>
        <row r="7198">
          <cell r="L7198" t="str">
            <v>WA2603TC01BK</v>
          </cell>
          <cell r="BW7198">
            <v>0</v>
          </cell>
        </row>
        <row r="7199">
          <cell r="L7199" t="str">
            <v>WA2603TC01GN</v>
          </cell>
          <cell r="BW7199">
            <v>0</v>
          </cell>
        </row>
        <row r="7200">
          <cell r="L7200" t="str">
            <v>WA2603TC01MU</v>
          </cell>
          <cell r="BW7200">
            <v>0</v>
          </cell>
        </row>
        <row r="7201">
          <cell r="L7201" t="str">
            <v>WA2603TC02BK</v>
          </cell>
          <cell r="BW7201">
            <v>0</v>
          </cell>
        </row>
        <row r="7202">
          <cell r="L7202" t="str">
            <v>WA2603TC02PI</v>
          </cell>
          <cell r="BW7202">
            <v>0</v>
          </cell>
        </row>
        <row r="7203">
          <cell r="L7203" t="str">
            <v>WA2603TC02SV</v>
          </cell>
          <cell r="BW7203">
            <v>0</v>
          </cell>
        </row>
        <row r="7204">
          <cell r="L7204" t="str">
            <v>WA2603TC03BR</v>
          </cell>
          <cell r="BW7204">
            <v>0</v>
          </cell>
        </row>
        <row r="7205">
          <cell r="L7205" t="str">
            <v>WA2603TC03IV</v>
          </cell>
          <cell r="BW7205">
            <v>0</v>
          </cell>
        </row>
        <row r="7206">
          <cell r="L7206" t="str">
            <v>WA2603TC04BK</v>
          </cell>
          <cell r="BW7206">
            <v>0</v>
          </cell>
        </row>
        <row r="7207">
          <cell r="L7207" t="str">
            <v>WA2603TC04SB</v>
          </cell>
          <cell r="BW7207">
            <v>0</v>
          </cell>
        </row>
        <row r="7208">
          <cell r="L7208" t="str">
            <v>WA2603TC05CH</v>
          </cell>
          <cell r="BW7208">
            <v>0</v>
          </cell>
        </row>
        <row r="7209">
          <cell r="L7209" t="str">
            <v>WA2603TC06TC</v>
          </cell>
          <cell r="BW7209">
            <v>0</v>
          </cell>
        </row>
        <row r="7210">
          <cell r="L7210" t="str">
            <v>WA2603TC07PU</v>
          </cell>
          <cell r="BW7210">
            <v>0</v>
          </cell>
        </row>
        <row r="7211">
          <cell r="L7211" t="str">
            <v>WA2603TC08BR</v>
          </cell>
          <cell r="BW7211">
            <v>0</v>
          </cell>
        </row>
        <row r="7212">
          <cell r="L7212" t="str">
            <v>WA2603TC09BK</v>
          </cell>
          <cell r="BW7212">
            <v>0</v>
          </cell>
        </row>
        <row r="7213">
          <cell r="L7213" t="str">
            <v>WA2603TC09BU</v>
          </cell>
          <cell r="BW7213">
            <v>0</v>
          </cell>
        </row>
        <row r="7214">
          <cell r="L7214" t="str">
            <v>WA2603TC11GR</v>
          </cell>
          <cell r="BW7214">
            <v>0</v>
          </cell>
        </row>
        <row r="7215">
          <cell r="L7215" t="str">
            <v>WA2603TC11LV</v>
          </cell>
          <cell r="BW7215">
            <v>0</v>
          </cell>
        </row>
        <row r="7216">
          <cell r="L7216" t="str">
            <v>WA2603TC12BR</v>
          </cell>
          <cell r="BW7216">
            <v>0</v>
          </cell>
        </row>
        <row r="7217">
          <cell r="L7217" t="str">
            <v>WA2604DP11BK</v>
          </cell>
          <cell r="BW7217">
            <v>0</v>
          </cell>
        </row>
        <row r="7218">
          <cell r="L7218" t="str">
            <v>WA2604DP11BK</v>
          </cell>
          <cell r="BW7218">
            <v>0</v>
          </cell>
        </row>
        <row r="7219">
          <cell r="L7219" t="str">
            <v>WA2604DP11BK</v>
          </cell>
          <cell r="BW7219">
            <v>0</v>
          </cell>
        </row>
        <row r="7220">
          <cell r="L7220" t="str">
            <v>WA2604DP11BK</v>
          </cell>
          <cell r="BW7220">
            <v>0</v>
          </cell>
        </row>
        <row r="7221">
          <cell r="L7221" t="str">
            <v>WA2604DP11BK</v>
          </cell>
          <cell r="BW7221">
            <v>0</v>
          </cell>
        </row>
        <row r="7222">
          <cell r="L7222" t="str">
            <v>WA2604DP11LG</v>
          </cell>
          <cell r="BW7222">
            <v>0</v>
          </cell>
        </row>
        <row r="7223">
          <cell r="L7223" t="str">
            <v>WA2604DP11LG</v>
          </cell>
          <cell r="BW7223">
            <v>0</v>
          </cell>
        </row>
        <row r="7224">
          <cell r="L7224" t="str">
            <v>WA2604DP11LG</v>
          </cell>
          <cell r="BW7224">
            <v>0</v>
          </cell>
        </row>
        <row r="7225">
          <cell r="L7225" t="str">
            <v>WA2604DP11LG</v>
          </cell>
          <cell r="BW7225">
            <v>0</v>
          </cell>
        </row>
        <row r="7226">
          <cell r="L7226" t="str">
            <v>WA2604DP11TC</v>
          </cell>
          <cell r="BW7226">
            <v>0</v>
          </cell>
        </row>
        <row r="7227">
          <cell r="L7227" t="str">
            <v>WA2604DP11TC</v>
          </cell>
          <cell r="BW7227">
            <v>0</v>
          </cell>
        </row>
        <row r="7228">
          <cell r="L7228" t="str">
            <v>WA2604DP11TC</v>
          </cell>
          <cell r="BW7228">
            <v>0</v>
          </cell>
        </row>
        <row r="7229">
          <cell r="L7229" t="str">
            <v>WA2604DP11TC</v>
          </cell>
          <cell r="BW7229">
            <v>0</v>
          </cell>
        </row>
        <row r="7230">
          <cell r="L7230" t="str">
            <v>WA2604DP11YE</v>
          </cell>
          <cell r="BW7230">
            <v>0</v>
          </cell>
        </row>
        <row r="7231">
          <cell r="L7231" t="str">
            <v>WA2604DP11YE</v>
          </cell>
          <cell r="BW7231">
            <v>0</v>
          </cell>
        </row>
        <row r="7232">
          <cell r="L7232" t="str">
            <v>WA2604DP11YE</v>
          </cell>
          <cell r="BW7232">
            <v>0</v>
          </cell>
        </row>
        <row r="7233">
          <cell r="L7233" t="str">
            <v>WA2604DP11YE</v>
          </cell>
          <cell r="BW7233">
            <v>0</v>
          </cell>
        </row>
        <row r="7234">
          <cell r="L7234" t="str">
            <v>WA2604DP12BK</v>
          </cell>
          <cell r="BW7234">
            <v>0</v>
          </cell>
        </row>
        <row r="7235">
          <cell r="L7235" t="str">
            <v>WA2604DP12BK</v>
          </cell>
          <cell r="BW7235">
            <v>0</v>
          </cell>
        </row>
        <row r="7236">
          <cell r="L7236" t="str">
            <v>WA2604DP12BK</v>
          </cell>
          <cell r="BW7236">
            <v>0</v>
          </cell>
        </row>
        <row r="7237">
          <cell r="L7237" t="str">
            <v>WA2604DP12BK</v>
          </cell>
          <cell r="BW7237">
            <v>0</v>
          </cell>
        </row>
        <row r="7238">
          <cell r="L7238" t="str">
            <v>WA2604DP13BL</v>
          </cell>
          <cell r="BW7238">
            <v>0</v>
          </cell>
        </row>
        <row r="7239">
          <cell r="L7239" t="str">
            <v>WA2604DP13BL</v>
          </cell>
          <cell r="BW7239">
            <v>0</v>
          </cell>
        </row>
        <row r="7240">
          <cell r="L7240" t="str">
            <v>WA2604DP13BL</v>
          </cell>
          <cell r="BW7240">
            <v>0</v>
          </cell>
        </row>
        <row r="7241">
          <cell r="L7241" t="str">
            <v>WA2604DP13BL</v>
          </cell>
          <cell r="BW7241">
            <v>0</v>
          </cell>
        </row>
        <row r="7242">
          <cell r="L7242" t="str">
            <v>WA2604DP13CH</v>
          </cell>
          <cell r="BW7242">
            <v>0</v>
          </cell>
        </row>
        <row r="7243">
          <cell r="L7243" t="str">
            <v>WA2604DP13CH</v>
          </cell>
          <cell r="BW7243">
            <v>0</v>
          </cell>
        </row>
        <row r="7244">
          <cell r="L7244" t="str">
            <v>WA2604DP13CH</v>
          </cell>
          <cell r="BW7244">
            <v>0</v>
          </cell>
        </row>
        <row r="7245">
          <cell r="L7245" t="str">
            <v>WA2604DP13CH</v>
          </cell>
          <cell r="BW7245">
            <v>0</v>
          </cell>
        </row>
        <row r="7246">
          <cell r="L7246" t="str">
            <v>WA2604DP13CH</v>
          </cell>
          <cell r="BW7246">
            <v>0</v>
          </cell>
        </row>
        <row r="7247">
          <cell r="L7247" t="str">
            <v>WA2604DP13CM</v>
          </cell>
          <cell r="BW7247">
            <v>0</v>
          </cell>
        </row>
        <row r="7248">
          <cell r="L7248" t="str">
            <v>WA2604DP13CM</v>
          </cell>
          <cell r="BW7248">
            <v>0</v>
          </cell>
        </row>
        <row r="7249">
          <cell r="L7249" t="str">
            <v>WA2604DP13CM</v>
          </cell>
          <cell r="BW7249">
            <v>0</v>
          </cell>
        </row>
        <row r="7250">
          <cell r="L7250" t="str">
            <v>WA2604DP13CM</v>
          </cell>
          <cell r="BW7250">
            <v>0</v>
          </cell>
        </row>
        <row r="7251">
          <cell r="L7251" t="str">
            <v>WA2604DP13CM</v>
          </cell>
          <cell r="BW7251">
            <v>0</v>
          </cell>
        </row>
        <row r="7252">
          <cell r="L7252" t="str">
            <v>WA2604DP14BK</v>
          </cell>
          <cell r="BW7252">
            <v>0</v>
          </cell>
        </row>
        <row r="7253">
          <cell r="L7253" t="str">
            <v>WA2604DP14BK</v>
          </cell>
          <cell r="BW7253">
            <v>0</v>
          </cell>
        </row>
        <row r="7254">
          <cell r="L7254" t="str">
            <v>WA2604DP14BK</v>
          </cell>
          <cell r="BW7254">
            <v>0</v>
          </cell>
        </row>
        <row r="7255">
          <cell r="L7255" t="str">
            <v>WA2604DP14BK</v>
          </cell>
          <cell r="BW7255">
            <v>0</v>
          </cell>
        </row>
        <row r="7256">
          <cell r="L7256" t="str">
            <v>WA2604DP14BK</v>
          </cell>
          <cell r="BW7256">
            <v>0</v>
          </cell>
        </row>
        <row r="7257">
          <cell r="L7257" t="str">
            <v>WA2604DP14BR</v>
          </cell>
          <cell r="BW7257">
            <v>0</v>
          </cell>
        </row>
        <row r="7258">
          <cell r="L7258" t="str">
            <v>WA2604DP14BR</v>
          </cell>
          <cell r="BW7258">
            <v>0</v>
          </cell>
        </row>
        <row r="7259">
          <cell r="L7259" t="str">
            <v>WA2604DP14BR</v>
          </cell>
          <cell r="BW7259">
            <v>0</v>
          </cell>
        </row>
        <row r="7260">
          <cell r="L7260" t="str">
            <v>WA2604DP14BR</v>
          </cell>
          <cell r="BW7260">
            <v>0</v>
          </cell>
        </row>
        <row r="7261">
          <cell r="L7261" t="str">
            <v>WA2604DP14LG</v>
          </cell>
          <cell r="BW7261">
            <v>0</v>
          </cell>
        </row>
        <row r="7262">
          <cell r="L7262" t="str">
            <v>WA2604DP14LG</v>
          </cell>
          <cell r="BW7262">
            <v>0</v>
          </cell>
        </row>
        <row r="7263">
          <cell r="L7263" t="str">
            <v>WA2604DP14LG</v>
          </cell>
          <cell r="BW7263">
            <v>0</v>
          </cell>
        </row>
        <row r="7264">
          <cell r="L7264" t="str">
            <v>WA2604DP14LG</v>
          </cell>
          <cell r="BW7264">
            <v>0</v>
          </cell>
        </row>
        <row r="7265">
          <cell r="L7265" t="str">
            <v>WA2604DP14LG</v>
          </cell>
          <cell r="BW7265">
            <v>0</v>
          </cell>
        </row>
        <row r="7266">
          <cell r="L7266" t="str">
            <v>WA2604DP14TC</v>
          </cell>
          <cell r="BW7266">
            <v>0</v>
          </cell>
        </row>
        <row r="7267">
          <cell r="L7267" t="str">
            <v>WA2604DP14TC</v>
          </cell>
          <cell r="BW7267">
            <v>0</v>
          </cell>
        </row>
        <row r="7268">
          <cell r="L7268" t="str">
            <v>WA2604DP14TC</v>
          </cell>
          <cell r="BW7268">
            <v>0</v>
          </cell>
        </row>
        <row r="7269">
          <cell r="L7269" t="str">
            <v>WA2604DP14TC</v>
          </cell>
          <cell r="BW7269">
            <v>0</v>
          </cell>
        </row>
        <row r="7270">
          <cell r="L7270" t="str">
            <v>WA2604DP15BE</v>
          </cell>
          <cell r="BW7270">
            <v>0</v>
          </cell>
        </row>
        <row r="7271">
          <cell r="L7271" t="str">
            <v>WA2604DP15BE</v>
          </cell>
          <cell r="BW7271">
            <v>0</v>
          </cell>
        </row>
        <row r="7272">
          <cell r="L7272" t="str">
            <v>WA2604DP15BE</v>
          </cell>
          <cell r="BW7272">
            <v>0</v>
          </cell>
        </row>
        <row r="7273">
          <cell r="L7273" t="str">
            <v>WA2604DP15BE</v>
          </cell>
          <cell r="BW7273">
            <v>0</v>
          </cell>
        </row>
        <row r="7274">
          <cell r="L7274" t="str">
            <v>WA2604DP15BK</v>
          </cell>
          <cell r="BW7274">
            <v>0</v>
          </cell>
        </row>
        <row r="7275">
          <cell r="L7275" t="str">
            <v>WA2604DP15BK</v>
          </cell>
          <cell r="BW7275">
            <v>0</v>
          </cell>
        </row>
        <row r="7276">
          <cell r="L7276" t="str">
            <v>WA2604DP15BK</v>
          </cell>
          <cell r="BW7276">
            <v>0</v>
          </cell>
        </row>
        <row r="7277">
          <cell r="L7277" t="str">
            <v>WA2604DP15BK</v>
          </cell>
          <cell r="BW7277">
            <v>0</v>
          </cell>
        </row>
        <row r="7278">
          <cell r="L7278" t="str">
            <v>WA2604DP15TC</v>
          </cell>
          <cell r="BW7278">
            <v>0</v>
          </cell>
        </row>
        <row r="7279">
          <cell r="L7279" t="str">
            <v>WA2604DP15TC</v>
          </cell>
          <cell r="BW7279">
            <v>0</v>
          </cell>
        </row>
        <row r="7280">
          <cell r="L7280" t="str">
            <v>WA2604DP15TC</v>
          </cell>
          <cell r="BW7280">
            <v>0</v>
          </cell>
        </row>
        <row r="7281">
          <cell r="L7281" t="str">
            <v>WA2604DP15TC</v>
          </cell>
          <cell r="BW7281">
            <v>0</v>
          </cell>
        </row>
        <row r="7282">
          <cell r="L7282" t="str">
            <v>WA2604DP51BK</v>
          </cell>
          <cell r="BW7282">
            <v>0</v>
          </cell>
        </row>
        <row r="7283">
          <cell r="L7283" t="str">
            <v>WA2604DP51BK</v>
          </cell>
          <cell r="BW7283">
            <v>0</v>
          </cell>
        </row>
        <row r="7284">
          <cell r="L7284" t="str">
            <v>WA2604DP51CM</v>
          </cell>
          <cell r="BW7284">
            <v>0</v>
          </cell>
        </row>
        <row r="7285">
          <cell r="L7285" t="str">
            <v>WA2604DP51CM</v>
          </cell>
          <cell r="BW7285">
            <v>0</v>
          </cell>
        </row>
        <row r="7286">
          <cell r="L7286" t="str">
            <v>WA2604DP51GR</v>
          </cell>
          <cell r="BW7286">
            <v>0</v>
          </cell>
        </row>
        <row r="7287">
          <cell r="L7287" t="str">
            <v>WA2604DP51GR</v>
          </cell>
          <cell r="BW7287">
            <v>0</v>
          </cell>
        </row>
        <row r="7288">
          <cell r="L7288" t="str">
            <v>WA2604DP51TC</v>
          </cell>
          <cell r="BW7288">
            <v>0</v>
          </cell>
        </row>
        <row r="7289">
          <cell r="L7289" t="str">
            <v>WA2604DP51TC</v>
          </cell>
          <cell r="BW7289">
            <v>0</v>
          </cell>
        </row>
        <row r="7290">
          <cell r="L7290" t="str">
            <v>WA2604DP61BK</v>
          </cell>
          <cell r="BW7290">
            <v>0</v>
          </cell>
        </row>
        <row r="7291">
          <cell r="L7291" t="str">
            <v>WA2604DP61BK</v>
          </cell>
          <cell r="BW7291">
            <v>0</v>
          </cell>
        </row>
        <row r="7292">
          <cell r="L7292" t="str">
            <v>WA2604DP61BR</v>
          </cell>
          <cell r="BW7292">
            <v>0</v>
          </cell>
        </row>
        <row r="7293">
          <cell r="L7293" t="str">
            <v>WA2604DP61BR</v>
          </cell>
          <cell r="BW7293">
            <v>0</v>
          </cell>
        </row>
        <row r="7294">
          <cell r="L7294" t="str">
            <v>WA2604DP62CH</v>
          </cell>
          <cell r="BW7294">
            <v>0</v>
          </cell>
        </row>
        <row r="7295">
          <cell r="L7295" t="str">
            <v>WA2604DP62CM</v>
          </cell>
          <cell r="BW7295">
            <v>0</v>
          </cell>
        </row>
        <row r="7296">
          <cell r="L7296" t="str">
            <v>WA2604DP63BK</v>
          </cell>
          <cell r="BW7296">
            <v>0</v>
          </cell>
        </row>
        <row r="7297">
          <cell r="L7297" t="str">
            <v>WA2604DP63BK</v>
          </cell>
          <cell r="BW7297">
            <v>0</v>
          </cell>
        </row>
        <row r="7298">
          <cell r="L7298" t="str">
            <v>WA2604DP63CM</v>
          </cell>
          <cell r="BW7298">
            <v>0</v>
          </cell>
        </row>
        <row r="7299">
          <cell r="L7299" t="str">
            <v>WA2604DP63CM</v>
          </cell>
          <cell r="BW7299">
            <v>0</v>
          </cell>
        </row>
        <row r="7300">
          <cell r="L7300" t="str">
            <v>WA2604DP63GN</v>
          </cell>
          <cell r="BW7300">
            <v>0</v>
          </cell>
        </row>
        <row r="7301">
          <cell r="L7301" t="str">
            <v>WA2604DP63GN</v>
          </cell>
          <cell r="BW7301">
            <v>0</v>
          </cell>
        </row>
        <row r="7302">
          <cell r="L7302" t="str">
            <v>WA2604DP64BR</v>
          </cell>
          <cell r="BW7302">
            <v>0</v>
          </cell>
        </row>
        <row r="7303">
          <cell r="L7303" t="str">
            <v>WA2604DP64BR</v>
          </cell>
          <cell r="BW7303">
            <v>0</v>
          </cell>
        </row>
        <row r="7304">
          <cell r="L7304" t="str">
            <v>WA2604DP64LB</v>
          </cell>
          <cell r="BW7304">
            <v>0</v>
          </cell>
        </row>
        <row r="7305">
          <cell r="L7305" t="str">
            <v>WA2604DP64LB</v>
          </cell>
          <cell r="BW7305">
            <v>0</v>
          </cell>
        </row>
        <row r="7306">
          <cell r="L7306" t="str">
            <v>WA2604DP65BK</v>
          </cell>
          <cell r="BW7306">
            <v>0</v>
          </cell>
        </row>
        <row r="7307">
          <cell r="L7307" t="str">
            <v>WA2604DP65CM</v>
          </cell>
          <cell r="BW7307">
            <v>0</v>
          </cell>
        </row>
        <row r="7308">
          <cell r="L7308" t="str">
            <v>WA2604HZ65CH</v>
          </cell>
          <cell r="BW7308">
            <v>0</v>
          </cell>
        </row>
        <row r="7309">
          <cell r="L7309" t="str">
            <v>WA2604HZ65CH</v>
          </cell>
          <cell r="BW7309">
            <v>0</v>
          </cell>
        </row>
        <row r="7310">
          <cell r="L7310" t="str">
            <v>WA2604HZ65OT</v>
          </cell>
          <cell r="BW7310">
            <v>0</v>
          </cell>
        </row>
        <row r="7311">
          <cell r="L7311" t="str">
            <v>WA2604HZ65OT</v>
          </cell>
          <cell r="BW7311">
            <v>0</v>
          </cell>
        </row>
        <row r="7312">
          <cell r="L7312" t="str">
            <v>WA2604JK15BK</v>
          </cell>
          <cell r="BW7312">
            <v>0</v>
          </cell>
        </row>
        <row r="7313">
          <cell r="L7313" t="str">
            <v>WA2604JK15BK</v>
          </cell>
          <cell r="BW7313">
            <v>0</v>
          </cell>
        </row>
        <row r="7314">
          <cell r="L7314" t="str">
            <v>WA2604JK15BK</v>
          </cell>
          <cell r="BW7314">
            <v>0</v>
          </cell>
        </row>
        <row r="7315">
          <cell r="L7315" t="str">
            <v>WA2604JK15BK</v>
          </cell>
          <cell r="BW7315">
            <v>0</v>
          </cell>
        </row>
        <row r="7316">
          <cell r="L7316" t="str">
            <v>WA2604JK15BK</v>
          </cell>
          <cell r="BW7316">
            <v>0</v>
          </cell>
        </row>
        <row r="7317">
          <cell r="L7317" t="str">
            <v>WA2604JK15CM</v>
          </cell>
          <cell r="BW7317">
            <v>0</v>
          </cell>
        </row>
        <row r="7318">
          <cell r="L7318" t="str">
            <v>WA2604JK15CM</v>
          </cell>
          <cell r="BW7318">
            <v>0</v>
          </cell>
        </row>
        <row r="7319">
          <cell r="L7319" t="str">
            <v>WA2604JK15CM</v>
          </cell>
          <cell r="BW7319">
            <v>0</v>
          </cell>
        </row>
        <row r="7320">
          <cell r="L7320" t="str">
            <v>WA2604JK15CM</v>
          </cell>
          <cell r="BW7320">
            <v>0</v>
          </cell>
        </row>
        <row r="7321">
          <cell r="L7321" t="str">
            <v>WA2604JK15CM</v>
          </cell>
          <cell r="BW7321">
            <v>0</v>
          </cell>
        </row>
        <row r="7322">
          <cell r="L7322" t="str">
            <v>WA2604JK15PI</v>
          </cell>
          <cell r="BW7322">
            <v>0</v>
          </cell>
        </row>
        <row r="7323">
          <cell r="L7323" t="str">
            <v>WA2604JK15PI</v>
          </cell>
          <cell r="BW7323">
            <v>0</v>
          </cell>
        </row>
        <row r="7324">
          <cell r="L7324" t="str">
            <v>WA2604JK15PI</v>
          </cell>
          <cell r="BW7324">
            <v>0</v>
          </cell>
        </row>
        <row r="7325">
          <cell r="L7325" t="str">
            <v>WA2604JK15PI</v>
          </cell>
          <cell r="BW7325">
            <v>0</v>
          </cell>
        </row>
        <row r="7326">
          <cell r="L7326" t="str">
            <v>WA2604JK15TC</v>
          </cell>
          <cell r="BW7326">
            <v>0</v>
          </cell>
        </row>
        <row r="7327">
          <cell r="L7327" t="str">
            <v>WA2604JK15TC</v>
          </cell>
          <cell r="BW7327">
            <v>0</v>
          </cell>
        </row>
        <row r="7328">
          <cell r="L7328" t="str">
            <v>WA2604JK15TC</v>
          </cell>
          <cell r="BW7328">
            <v>0</v>
          </cell>
        </row>
        <row r="7329">
          <cell r="L7329" t="str">
            <v>WA2604JK15TC</v>
          </cell>
          <cell r="BW7329">
            <v>0</v>
          </cell>
        </row>
        <row r="7330">
          <cell r="L7330" t="str">
            <v>WA2604JK16BE</v>
          </cell>
          <cell r="BW7330">
            <v>0</v>
          </cell>
        </row>
        <row r="7331">
          <cell r="L7331" t="str">
            <v>WA2604JK16BE</v>
          </cell>
          <cell r="BW7331">
            <v>0</v>
          </cell>
        </row>
        <row r="7332">
          <cell r="L7332" t="str">
            <v>WA2604JK16BE</v>
          </cell>
          <cell r="BW7332">
            <v>0</v>
          </cell>
        </row>
        <row r="7333">
          <cell r="L7333" t="str">
            <v>WA2604JK16BE</v>
          </cell>
          <cell r="BW7333">
            <v>0</v>
          </cell>
        </row>
        <row r="7334">
          <cell r="L7334" t="str">
            <v>WA2604JK16CH</v>
          </cell>
          <cell r="BW7334">
            <v>0</v>
          </cell>
        </row>
        <row r="7335">
          <cell r="L7335" t="str">
            <v>WA2604JK16CH</v>
          </cell>
          <cell r="BW7335">
            <v>0</v>
          </cell>
        </row>
        <row r="7336">
          <cell r="L7336" t="str">
            <v>WA2604JK16CH</v>
          </cell>
          <cell r="BW7336">
            <v>0</v>
          </cell>
        </row>
        <row r="7337">
          <cell r="L7337" t="str">
            <v>WA2604JK16CH</v>
          </cell>
          <cell r="BW7337">
            <v>0</v>
          </cell>
        </row>
        <row r="7338">
          <cell r="L7338" t="str">
            <v>WA2604JK16CH</v>
          </cell>
          <cell r="BW7338">
            <v>0</v>
          </cell>
        </row>
        <row r="7339">
          <cell r="L7339" t="str">
            <v>WA2604JK16OT</v>
          </cell>
          <cell r="BW7339">
            <v>0</v>
          </cell>
        </row>
        <row r="7340">
          <cell r="L7340" t="str">
            <v>WA2604JK16OT</v>
          </cell>
          <cell r="BW7340">
            <v>0</v>
          </cell>
        </row>
        <row r="7341">
          <cell r="L7341" t="str">
            <v>WA2604JK16OT</v>
          </cell>
          <cell r="BW7341">
            <v>0</v>
          </cell>
        </row>
        <row r="7342">
          <cell r="L7342" t="str">
            <v>WA2604JK16OT</v>
          </cell>
          <cell r="BW7342">
            <v>0</v>
          </cell>
        </row>
        <row r="7343">
          <cell r="L7343" t="str">
            <v>WA2604JK17BE</v>
          </cell>
          <cell r="BW7343">
            <v>0</v>
          </cell>
        </row>
        <row r="7344">
          <cell r="L7344" t="str">
            <v>WA2604JK17BE</v>
          </cell>
          <cell r="BW7344">
            <v>0</v>
          </cell>
        </row>
        <row r="7345">
          <cell r="L7345" t="str">
            <v>WA2604JK17BE</v>
          </cell>
          <cell r="BW7345">
            <v>0</v>
          </cell>
        </row>
        <row r="7346">
          <cell r="L7346" t="str">
            <v>WA2604JK17BE</v>
          </cell>
          <cell r="BW7346">
            <v>0</v>
          </cell>
        </row>
        <row r="7347">
          <cell r="L7347" t="str">
            <v>WA2604JK17GR</v>
          </cell>
          <cell r="BW7347">
            <v>0</v>
          </cell>
        </row>
        <row r="7348">
          <cell r="L7348" t="str">
            <v>WA2604JK17GR</v>
          </cell>
          <cell r="BW7348">
            <v>0</v>
          </cell>
        </row>
        <row r="7349">
          <cell r="L7349" t="str">
            <v>WA2604JK17GR</v>
          </cell>
          <cell r="BW7349">
            <v>0</v>
          </cell>
        </row>
        <row r="7350">
          <cell r="L7350" t="str">
            <v>WA2604JK17GR</v>
          </cell>
          <cell r="BW7350">
            <v>0</v>
          </cell>
        </row>
        <row r="7351">
          <cell r="L7351" t="str">
            <v>WA2604JK18BL</v>
          </cell>
          <cell r="BW7351">
            <v>0</v>
          </cell>
        </row>
        <row r="7352">
          <cell r="L7352" t="str">
            <v>WA2604JK18BL</v>
          </cell>
          <cell r="BW7352">
            <v>0</v>
          </cell>
        </row>
        <row r="7353">
          <cell r="L7353" t="str">
            <v>WA2604JK18BL</v>
          </cell>
          <cell r="BW7353">
            <v>0</v>
          </cell>
        </row>
        <row r="7354">
          <cell r="L7354" t="str">
            <v>WA2604JK18BL</v>
          </cell>
          <cell r="BW7354">
            <v>0</v>
          </cell>
        </row>
        <row r="7355">
          <cell r="L7355" t="str">
            <v>WA2604JK18GR</v>
          </cell>
          <cell r="BW7355">
            <v>0</v>
          </cell>
        </row>
        <row r="7356">
          <cell r="L7356" t="str">
            <v>WA2604JK18GR</v>
          </cell>
          <cell r="BW7356">
            <v>0</v>
          </cell>
        </row>
        <row r="7357">
          <cell r="L7357" t="str">
            <v>WA2604JK18GR</v>
          </cell>
          <cell r="BW7357">
            <v>0</v>
          </cell>
        </row>
        <row r="7358">
          <cell r="L7358" t="str">
            <v>WA2604JK18GR</v>
          </cell>
          <cell r="BW7358">
            <v>0</v>
          </cell>
        </row>
        <row r="7359">
          <cell r="L7359" t="str">
            <v>WA2604JK19BK</v>
          </cell>
          <cell r="BW7359">
            <v>0</v>
          </cell>
        </row>
        <row r="7360">
          <cell r="L7360" t="str">
            <v>WA2604JK19BK</v>
          </cell>
          <cell r="BW7360">
            <v>0</v>
          </cell>
        </row>
        <row r="7361">
          <cell r="L7361" t="str">
            <v>WA2604JK19BK</v>
          </cell>
          <cell r="BW7361">
            <v>0</v>
          </cell>
        </row>
        <row r="7362">
          <cell r="L7362" t="str">
            <v>WA2604JK19BK</v>
          </cell>
          <cell r="BW7362">
            <v>0</v>
          </cell>
        </row>
        <row r="7363">
          <cell r="L7363" t="str">
            <v>WA2604JK20BK</v>
          </cell>
          <cell r="BW7363">
            <v>0</v>
          </cell>
        </row>
        <row r="7364">
          <cell r="L7364" t="str">
            <v>WA2604JK20BK</v>
          </cell>
          <cell r="BW7364">
            <v>0</v>
          </cell>
        </row>
        <row r="7365">
          <cell r="L7365" t="str">
            <v>WA2604JK20BK</v>
          </cell>
          <cell r="BW7365">
            <v>0</v>
          </cell>
        </row>
        <row r="7366">
          <cell r="L7366" t="str">
            <v>WA2604JK20BK</v>
          </cell>
          <cell r="BW7366">
            <v>0</v>
          </cell>
        </row>
        <row r="7367">
          <cell r="L7367" t="str">
            <v>WA2604JK20IV</v>
          </cell>
          <cell r="BW7367">
            <v>0</v>
          </cell>
        </row>
        <row r="7368">
          <cell r="L7368" t="str">
            <v>WA2604JK20IV</v>
          </cell>
          <cell r="BW7368">
            <v>0</v>
          </cell>
        </row>
        <row r="7369">
          <cell r="L7369" t="str">
            <v>WA2604JK20IV</v>
          </cell>
          <cell r="BW7369">
            <v>0</v>
          </cell>
        </row>
        <row r="7370">
          <cell r="L7370" t="str">
            <v>WA2604JK20IV</v>
          </cell>
          <cell r="BW7370">
            <v>0</v>
          </cell>
        </row>
        <row r="7371">
          <cell r="L7371" t="str">
            <v>WA2604JK21BK</v>
          </cell>
          <cell r="BW7371">
            <v>0</v>
          </cell>
        </row>
        <row r="7372">
          <cell r="L7372" t="str">
            <v>WA2604JK21BK</v>
          </cell>
          <cell r="BW7372">
            <v>0</v>
          </cell>
        </row>
        <row r="7373">
          <cell r="L7373" t="str">
            <v>WA2604JK21BK</v>
          </cell>
          <cell r="BW7373">
            <v>0</v>
          </cell>
        </row>
        <row r="7374">
          <cell r="L7374" t="str">
            <v>WA2604JK21BK</v>
          </cell>
          <cell r="BW7374">
            <v>0</v>
          </cell>
        </row>
        <row r="7375">
          <cell r="L7375" t="str">
            <v>WA2604JK21IN</v>
          </cell>
          <cell r="BW7375">
            <v>0</v>
          </cell>
        </row>
        <row r="7376">
          <cell r="L7376" t="str">
            <v>WA2604JK21IN</v>
          </cell>
          <cell r="BW7376">
            <v>0</v>
          </cell>
        </row>
        <row r="7377">
          <cell r="L7377" t="str">
            <v>WA2604JK21IN</v>
          </cell>
          <cell r="BW7377">
            <v>0</v>
          </cell>
        </row>
        <row r="7378">
          <cell r="L7378" t="str">
            <v>WA2604JK21IN</v>
          </cell>
          <cell r="BW7378">
            <v>0</v>
          </cell>
        </row>
        <row r="7379">
          <cell r="L7379" t="str">
            <v>WA2604JK22BL</v>
          </cell>
          <cell r="BW7379">
            <v>0</v>
          </cell>
        </row>
        <row r="7380">
          <cell r="L7380" t="str">
            <v>WA2604JK22BL</v>
          </cell>
          <cell r="BW7380">
            <v>0</v>
          </cell>
        </row>
        <row r="7381">
          <cell r="L7381" t="str">
            <v>WA2604JK22BL</v>
          </cell>
          <cell r="BW7381">
            <v>0</v>
          </cell>
        </row>
        <row r="7382">
          <cell r="L7382" t="str">
            <v>WA2604JK22BL</v>
          </cell>
          <cell r="BW7382">
            <v>0</v>
          </cell>
        </row>
        <row r="7383">
          <cell r="L7383" t="str">
            <v>WA2604JK22LG</v>
          </cell>
          <cell r="BW7383">
            <v>0</v>
          </cell>
        </row>
        <row r="7384">
          <cell r="L7384" t="str">
            <v>WA2604JK22LG</v>
          </cell>
          <cell r="BW7384">
            <v>0</v>
          </cell>
        </row>
        <row r="7385">
          <cell r="L7385" t="str">
            <v>WA2604JK22LG</v>
          </cell>
          <cell r="BW7385">
            <v>0</v>
          </cell>
        </row>
        <row r="7386">
          <cell r="L7386" t="str">
            <v>WA2604JK22LG</v>
          </cell>
          <cell r="BW7386">
            <v>0</v>
          </cell>
        </row>
        <row r="7387">
          <cell r="L7387" t="str">
            <v>WA2604JK68LG</v>
          </cell>
          <cell r="BW7387">
            <v>0</v>
          </cell>
        </row>
        <row r="7388">
          <cell r="L7388" t="str">
            <v>WA2604JK68LG</v>
          </cell>
          <cell r="BW7388">
            <v>0</v>
          </cell>
        </row>
        <row r="7389">
          <cell r="L7389" t="str">
            <v>WA2604JK68LP</v>
          </cell>
          <cell r="BW7389">
            <v>0</v>
          </cell>
        </row>
        <row r="7390">
          <cell r="L7390" t="str">
            <v>WA2604JK68LP</v>
          </cell>
          <cell r="BW7390">
            <v>0</v>
          </cell>
        </row>
        <row r="7391">
          <cell r="L7391" t="str">
            <v>WA2604JK69DB</v>
          </cell>
          <cell r="BW7391">
            <v>0</v>
          </cell>
        </row>
        <row r="7392">
          <cell r="L7392" t="str">
            <v>WA2604JK69DB</v>
          </cell>
          <cell r="BW7392">
            <v>0</v>
          </cell>
        </row>
        <row r="7393">
          <cell r="L7393" t="str">
            <v>WA2604JK69TC</v>
          </cell>
          <cell r="BW7393">
            <v>0</v>
          </cell>
        </row>
        <row r="7394">
          <cell r="L7394" t="str">
            <v>WA2604JK69TC</v>
          </cell>
          <cell r="BW7394">
            <v>0</v>
          </cell>
        </row>
        <row r="7395">
          <cell r="L7395" t="str">
            <v>WA2604JK70BE</v>
          </cell>
          <cell r="BW7395">
            <v>0</v>
          </cell>
        </row>
        <row r="7396">
          <cell r="L7396" t="str">
            <v>WA2604JK70DN</v>
          </cell>
          <cell r="BW7396">
            <v>0</v>
          </cell>
        </row>
        <row r="7397">
          <cell r="L7397" t="str">
            <v>WA2604JK70IV</v>
          </cell>
          <cell r="BW7397">
            <v>0</v>
          </cell>
        </row>
        <row r="7398">
          <cell r="L7398" t="str">
            <v>WA2604JK71CE</v>
          </cell>
          <cell r="BW7398">
            <v>0</v>
          </cell>
        </row>
        <row r="7399">
          <cell r="L7399" t="str">
            <v>WA2604PT16BL</v>
          </cell>
          <cell r="BW7399">
            <v>0</v>
          </cell>
        </row>
        <row r="7400">
          <cell r="L7400" t="str">
            <v>WA2604PT16BL</v>
          </cell>
          <cell r="BW7400">
            <v>0</v>
          </cell>
        </row>
        <row r="7401">
          <cell r="L7401" t="str">
            <v>WA2604PT16BL</v>
          </cell>
          <cell r="BW7401">
            <v>0</v>
          </cell>
        </row>
        <row r="7402">
          <cell r="L7402" t="str">
            <v>WA2604PT16BL</v>
          </cell>
          <cell r="BW7402">
            <v>0</v>
          </cell>
        </row>
        <row r="7403">
          <cell r="L7403" t="str">
            <v>WA2604PT16BR</v>
          </cell>
          <cell r="BW7403">
            <v>0</v>
          </cell>
        </row>
        <row r="7404">
          <cell r="L7404" t="str">
            <v>WA2604PT16BR</v>
          </cell>
          <cell r="BW7404">
            <v>0</v>
          </cell>
        </row>
        <row r="7405">
          <cell r="L7405" t="str">
            <v>WA2604PT16BR</v>
          </cell>
          <cell r="BW7405">
            <v>0</v>
          </cell>
        </row>
        <row r="7406">
          <cell r="L7406" t="str">
            <v>WA2604PT16BR</v>
          </cell>
          <cell r="BW7406">
            <v>0</v>
          </cell>
        </row>
        <row r="7407">
          <cell r="L7407" t="str">
            <v>WA2604PT16CH</v>
          </cell>
          <cell r="BW7407">
            <v>0</v>
          </cell>
        </row>
        <row r="7408">
          <cell r="L7408" t="str">
            <v>WA2604PT16CH</v>
          </cell>
          <cell r="BW7408">
            <v>0</v>
          </cell>
        </row>
        <row r="7409">
          <cell r="L7409" t="str">
            <v>WA2604PT16CH</v>
          </cell>
          <cell r="BW7409">
            <v>0</v>
          </cell>
        </row>
        <row r="7410">
          <cell r="L7410" t="str">
            <v>WA2604PT16CH</v>
          </cell>
          <cell r="BW7410">
            <v>0</v>
          </cell>
        </row>
        <row r="7411">
          <cell r="L7411" t="str">
            <v>WA2604PT17TC</v>
          </cell>
          <cell r="BW7411">
            <v>0</v>
          </cell>
        </row>
        <row r="7412">
          <cell r="L7412" t="str">
            <v>WA2604PT17TC</v>
          </cell>
          <cell r="BW7412">
            <v>0</v>
          </cell>
        </row>
        <row r="7413">
          <cell r="L7413" t="str">
            <v>WA2604PT17TC</v>
          </cell>
          <cell r="BW7413">
            <v>0</v>
          </cell>
        </row>
        <row r="7414">
          <cell r="L7414" t="str">
            <v>WA2604PT34BE</v>
          </cell>
          <cell r="BW7414">
            <v>0</v>
          </cell>
        </row>
        <row r="7415">
          <cell r="L7415" t="str">
            <v>WA2604PT34BE</v>
          </cell>
          <cell r="BW7415">
            <v>0</v>
          </cell>
        </row>
        <row r="7416">
          <cell r="L7416" t="str">
            <v>WA2604PT34BE</v>
          </cell>
          <cell r="BW7416">
            <v>0</v>
          </cell>
        </row>
        <row r="7417">
          <cell r="L7417" t="str">
            <v>WA2604PT34BE</v>
          </cell>
          <cell r="BW7417">
            <v>0</v>
          </cell>
        </row>
        <row r="7418">
          <cell r="L7418" t="str">
            <v>WA2604PT34IN</v>
          </cell>
          <cell r="BW7418">
            <v>0</v>
          </cell>
        </row>
        <row r="7419">
          <cell r="L7419" t="str">
            <v>WA2604PT34IN</v>
          </cell>
          <cell r="BW7419">
            <v>0</v>
          </cell>
        </row>
        <row r="7420">
          <cell r="L7420" t="str">
            <v>WA2604PT34IN</v>
          </cell>
          <cell r="BW7420">
            <v>0</v>
          </cell>
        </row>
        <row r="7421">
          <cell r="L7421" t="str">
            <v>WA2604PT34IN</v>
          </cell>
          <cell r="BW7421">
            <v>0</v>
          </cell>
        </row>
        <row r="7422">
          <cell r="L7422" t="str">
            <v>WA2604PT35BK</v>
          </cell>
          <cell r="BW7422">
            <v>0</v>
          </cell>
        </row>
        <row r="7423">
          <cell r="L7423" t="str">
            <v>WA2604PT35BK</v>
          </cell>
          <cell r="BW7423">
            <v>0</v>
          </cell>
        </row>
        <row r="7424">
          <cell r="L7424" t="str">
            <v>WA2604PT35BK</v>
          </cell>
          <cell r="BW7424">
            <v>0</v>
          </cell>
        </row>
        <row r="7425">
          <cell r="L7425" t="str">
            <v>WA2604PT35BK</v>
          </cell>
          <cell r="BW7425">
            <v>0</v>
          </cell>
        </row>
        <row r="7426">
          <cell r="L7426" t="str">
            <v>WA2604PT35BL</v>
          </cell>
          <cell r="BW7426">
            <v>0</v>
          </cell>
        </row>
        <row r="7427">
          <cell r="L7427" t="str">
            <v>WA2604PT35BL</v>
          </cell>
          <cell r="BW7427">
            <v>0</v>
          </cell>
        </row>
        <row r="7428">
          <cell r="L7428" t="str">
            <v>WA2604PT35BL</v>
          </cell>
          <cell r="BW7428">
            <v>0</v>
          </cell>
        </row>
        <row r="7429">
          <cell r="L7429" t="str">
            <v>WA2604PT35BL</v>
          </cell>
          <cell r="BW7429">
            <v>0</v>
          </cell>
        </row>
        <row r="7430">
          <cell r="L7430" t="str">
            <v>WA2604PT65CH</v>
          </cell>
          <cell r="BW7430">
            <v>0</v>
          </cell>
        </row>
        <row r="7431">
          <cell r="L7431" t="str">
            <v>WA2604PT65CH</v>
          </cell>
          <cell r="BW7431">
            <v>0</v>
          </cell>
        </row>
        <row r="7432">
          <cell r="L7432" t="str">
            <v>WA2604PT65OT</v>
          </cell>
          <cell r="BW7432">
            <v>0</v>
          </cell>
        </row>
        <row r="7433">
          <cell r="L7433" t="str">
            <v>WA2604PT65OT</v>
          </cell>
          <cell r="BW7433">
            <v>0</v>
          </cell>
        </row>
        <row r="7434">
          <cell r="L7434" t="str">
            <v>WA2604SR65GR</v>
          </cell>
          <cell r="BW7434">
            <v>0</v>
          </cell>
        </row>
        <row r="7435">
          <cell r="L7435" t="str">
            <v>WA2604SR65GR</v>
          </cell>
          <cell r="BW743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출고현황"/>
      <sheetName val="매장등급"/>
      <sheetName val="요약"/>
      <sheetName val="26SS 월별 IMC"/>
      <sheetName val="26SS 초도"/>
      <sheetName val="기획자료"/>
      <sheetName val="26SS 채널별 분배"/>
      <sheetName val="26년 매장별 운영"/>
      <sheetName val="매재수"/>
      <sheetName val="WMS"/>
      <sheetName val="출고반품현황"/>
      <sheetName val="품수현"/>
      <sheetName val="소싱납기"/>
      <sheetName val="해외수량"/>
      <sheetName val="품종집"/>
      <sheetName val="상품바코드조회_"/>
      <sheetName val="매장구분 및 등급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02AB-EEE8-4149-9BC0-41F732CE9E52}">
  <dimension ref="B1:BH59"/>
  <sheetViews>
    <sheetView showGridLines="0" showZeros="0" tabSelected="1" zoomScale="70" zoomScaleNormal="70" workbookViewId="0">
      <selection activeCell="E12" sqref="E12:G13"/>
    </sheetView>
  </sheetViews>
  <sheetFormatPr defaultRowHeight="16.5" outlineLevelCol="1" x14ac:dyDescent="0.3"/>
  <cols>
    <col min="1" max="1" width="0.75" customWidth="1"/>
    <col min="2" max="2" width="16.875" bestFit="1" customWidth="1"/>
    <col min="3" max="3" width="12.75" style="3" bestFit="1" customWidth="1"/>
    <col min="4" max="4" width="9" style="3"/>
    <col min="8" max="15" width="9" hidden="1" customWidth="1" outlineLevel="1"/>
    <col min="16" max="16" width="0" hidden="1" customWidth="1" collapsed="1"/>
    <col min="17" max="20" width="0" hidden="1" customWidth="1"/>
    <col min="47" max="47" width="9" style="66"/>
  </cols>
  <sheetData>
    <row r="1" spans="2:60" s="1" customFormat="1" ht="13.5" x14ac:dyDescent="0.3">
      <c r="AU1" s="2"/>
    </row>
    <row r="2" spans="2:60" s="1" customFormat="1" ht="17.25" x14ac:dyDescent="0.3">
      <c r="C2" s="109" t="s">
        <v>78</v>
      </c>
      <c r="AU2" s="2"/>
    </row>
    <row r="3" spans="2:60" s="1" customFormat="1" ht="17.25" x14ac:dyDescent="0.3">
      <c r="C3" s="109" t="s">
        <v>77</v>
      </c>
      <c r="AU3" s="2"/>
    </row>
    <row r="4" spans="2:60" s="1" customFormat="1" ht="17.25" x14ac:dyDescent="0.3">
      <c r="C4" s="109" t="s">
        <v>79</v>
      </c>
      <c r="AU4" s="2"/>
    </row>
    <row r="5" spans="2:60" s="3" customFormat="1" x14ac:dyDescent="0.3">
      <c r="AU5" s="4" t="s">
        <v>75</v>
      </c>
    </row>
    <row r="6" spans="2:60" x14ac:dyDescent="0.3">
      <c r="C6" s="5"/>
      <c r="D6" s="5"/>
      <c r="E6" s="5"/>
      <c r="F6" s="6" t="s">
        <v>0</v>
      </c>
      <c r="G6" s="7"/>
      <c r="H6" s="8">
        <v>45662</v>
      </c>
      <c r="I6" s="8">
        <f>+H6+7</f>
        <v>45669</v>
      </c>
      <c r="J6" s="8">
        <f t="shared" ref="J6:BH6" si="0">+I6+7</f>
        <v>45676</v>
      </c>
      <c r="K6" s="8">
        <f t="shared" si="0"/>
        <v>45683</v>
      </c>
      <c r="L6" s="8">
        <f t="shared" si="0"/>
        <v>45690</v>
      </c>
      <c r="M6" s="8">
        <f t="shared" si="0"/>
        <v>45697</v>
      </c>
      <c r="N6" s="8">
        <f t="shared" si="0"/>
        <v>45704</v>
      </c>
      <c r="O6" s="8">
        <f t="shared" si="0"/>
        <v>45711</v>
      </c>
      <c r="P6" s="8">
        <f t="shared" si="0"/>
        <v>45718</v>
      </c>
      <c r="Q6" s="8">
        <f t="shared" si="0"/>
        <v>45725</v>
      </c>
      <c r="R6" s="8">
        <f t="shared" si="0"/>
        <v>45732</v>
      </c>
      <c r="S6" s="8">
        <f t="shared" si="0"/>
        <v>45739</v>
      </c>
      <c r="T6" s="8">
        <f t="shared" si="0"/>
        <v>45746</v>
      </c>
      <c r="U6" s="8">
        <f t="shared" si="0"/>
        <v>45753</v>
      </c>
      <c r="V6" s="8">
        <f t="shared" si="0"/>
        <v>45760</v>
      </c>
      <c r="W6" s="8">
        <f t="shared" si="0"/>
        <v>45767</v>
      </c>
      <c r="X6" s="8">
        <f t="shared" si="0"/>
        <v>45774</v>
      </c>
      <c r="Y6" s="8">
        <f t="shared" si="0"/>
        <v>45781</v>
      </c>
      <c r="Z6" s="8">
        <f t="shared" si="0"/>
        <v>45788</v>
      </c>
      <c r="AA6" s="8">
        <f t="shared" si="0"/>
        <v>45795</v>
      </c>
      <c r="AB6" s="8">
        <f t="shared" si="0"/>
        <v>45802</v>
      </c>
      <c r="AC6" s="8">
        <f t="shared" si="0"/>
        <v>45809</v>
      </c>
      <c r="AD6" s="8">
        <f t="shared" si="0"/>
        <v>45816</v>
      </c>
      <c r="AE6" s="8">
        <f t="shared" si="0"/>
        <v>45823</v>
      </c>
      <c r="AF6" s="8">
        <f t="shared" si="0"/>
        <v>45830</v>
      </c>
      <c r="AG6" s="8">
        <f t="shared" si="0"/>
        <v>45837</v>
      </c>
      <c r="AH6" s="8">
        <f t="shared" si="0"/>
        <v>45844</v>
      </c>
      <c r="AI6" s="8">
        <f t="shared" si="0"/>
        <v>45851</v>
      </c>
      <c r="AJ6" s="8">
        <f t="shared" si="0"/>
        <v>45858</v>
      </c>
      <c r="AK6" s="8">
        <f t="shared" si="0"/>
        <v>45865</v>
      </c>
      <c r="AL6" s="8">
        <f t="shared" si="0"/>
        <v>45872</v>
      </c>
      <c r="AM6" s="8">
        <f t="shared" si="0"/>
        <v>45879</v>
      </c>
      <c r="AN6" s="8">
        <f t="shared" si="0"/>
        <v>45886</v>
      </c>
      <c r="AO6" s="8">
        <f t="shared" si="0"/>
        <v>45893</v>
      </c>
      <c r="AP6" s="8">
        <f t="shared" si="0"/>
        <v>45900</v>
      </c>
      <c r="AQ6" s="8">
        <f t="shared" si="0"/>
        <v>45907</v>
      </c>
      <c r="AR6" s="8">
        <f t="shared" si="0"/>
        <v>45914</v>
      </c>
      <c r="AS6" s="8">
        <f t="shared" si="0"/>
        <v>45921</v>
      </c>
      <c r="AT6" s="8">
        <f t="shared" si="0"/>
        <v>45928</v>
      </c>
      <c r="AU6" s="103">
        <f t="shared" si="0"/>
        <v>45935</v>
      </c>
      <c r="AV6" s="9">
        <f t="shared" si="0"/>
        <v>45942</v>
      </c>
      <c r="AW6" s="8">
        <f t="shared" si="0"/>
        <v>45949</v>
      </c>
      <c r="AX6" s="8">
        <f t="shared" si="0"/>
        <v>45956</v>
      </c>
      <c r="AY6" s="8">
        <f t="shared" si="0"/>
        <v>45963</v>
      </c>
      <c r="AZ6" s="8">
        <f t="shared" si="0"/>
        <v>45970</v>
      </c>
      <c r="BA6" s="8">
        <f t="shared" si="0"/>
        <v>45977</v>
      </c>
      <c r="BB6" s="8">
        <f t="shared" si="0"/>
        <v>45984</v>
      </c>
      <c r="BC6" s="8">
        <f t="shared" si="0"/>
        <v>45991</v>
      </c>
      <c r="BD6" s="8">
        <f t="shared" si="0"/>
        <v>45998</v>
      </c>
      <c r="BE6" s="8">
        <f t="shared" si="0"/>
        <v>46005</v>
      </c>
      <c r="BF6" s="8">
        <f t="shared" si="0"/>
        <v>46012</v>
      </c>
      <c r="BG6" s="8">
        <f t="shared" si="0"/>
        <v>46019</v>
      </c>
      <c r="BH6" s="8">
        <f t="shared" si="0"/>
        <v>46026</v>
      </c>
    </row>
    <row r="7" spans="2:60" x14ac:dyDescent="0.3">
      <c r="C7" s="10" t="s">
        <v>1</v>
      </c>
      <c r="D7" s="10" t="s">
        <v>2</v>
      </c>
      <c r="E7" s="11" t="s">
        <v>3</v>
      </c>
      <c r="F7" s="10" t="s">
        <v>4</v>
      </c>
      <c r="G7" s="12" t="s">
        <v>5</v>
      </c>
      <c r="H7" s="12" t="s">
        <v>6</v>
      </c>
      <c r="I7" s="12" t="s">
        <v>7</v>
      </c>
      <c r="J7" s="12" t="s">
        <v>8</v>
      </c>
      <c r="K7" s="12" t="s">
        <v>9</v>
      </c>
      <c r="L7" s="12" t="s">
        <v>10</v>
      </c>
      <c r="M7" s="12" t="s">
        <v>11</v>
      </c>
      <c r="N7" s="12" t="s">
        <v>12</v>
      </c>
      <c r="O7" s="12" t="s">
        <v>13</v>
      </c>
      <c r="P7" s="12" t="s">
        <v>14</v>
      </c>
      <c r="Q7" s="12" t="s">
        <v>15</v>
      </c>
      <c r="R7" s="12" t="s">
        <v>16</v>
      </c>
      <c r="S7" s="12" t="s">
        <v>17</v>
      </c>
      <c r="T7" s="12" t="s">
        <v>18</v>
      </c>
      <c r="U7" s="12" t="s">
        <v>19</v>
      </c>
      <c r="V7" s="12" t="s">
        <v>20</v>
      </c>
      <c r="W7" s="12" t="s">
        <v>21</v>
      </c>
      <c r="X7" s="12" t="s">
        <v>22</v>
      </c>
      <c r="Y7" s="12" t="s">
        <v>23</v>
      </c>
      <c r="Z7" s="12" t="s">
        <v>24</v>
      </c>
      <c r="AA7" s="12" t="s">
        <v>25</v>
      </c>
      <c r="AB7" s="12" t="s">
        <v>26</v>
      </c>
      <c r="AC7" s="12" t="s">
        <v>27</v>
      </c>
      <c r="AD7" s="12" t="s">
        <v>28</v>
      </c>
      <c r="AE7" s="12" t="s">
        <v>29</v>
      </c>
      <c r="AF7" s="12" t="s">
        <v>30</v>
      </c>
      <c r="AG7" s="12" t="s">
        <v>31</v>
      </c>
      <c r="AH7" s="12" t="s">
        <v>32</v>
      </c>
      <c r="AI7" s="12" t="s">
        <v>33</v>
      </c>
      <c r="AJ7" s="12" t="s">
        <v>34</v>
      </c>
      <c r="AK7" s="12" t="s">
        <v>35</v>
      </c>
      <c r="AL7" s="12" t="s">
        <v>36</v>
      </c>
      <c r="AM7" s="12" t="s">
        <v>37</v>
      </c>
      <c r="AN7" s="12" t="s">
        <v>38</v>
      </c>
      <c r="AO7" s="12" t="s">
        <v>39</v>
      </c>
      <c r="AP7" s="12" t="s">
        <v>40</v>
      </c>
      <c r="AQ7" s="12" t="s">
        <v>41</v>
      </c>
      <c r="AR7" s="12" t="s">
        <v>42</v>
      </c>
      <c r="AS7" s="12" t="s">
        <v>43</v>
      </c>
      <c r="AT7" s="12" t="s">
        <v>44</v>
      </c>
      <c r="AU7" s="104" t="s">
        <v>45</v>
      </c>
      <c r="AV7" s="13" t="s">
        <v>46</v>
      </c>
      <c r="AW7" s="12" t="s">
        <v>47</v>
      </c>
      <c r="AX7" s="12" t="s">
        <v>48</v>
      </c>
      <c r="AY7" s="12" t="s">
        <v>49</v>
      </c>
      <c r="AZ7" s="12" t="s">
        <v>50</v>
      </c>
      <c r="BA7" s="12" t="s">
        <v>51</v>
      </c>
      <c r="BB7" s="12" t="s">
        <v>52</v>
      </c>
      <c r="BC7" s="12" t="s">
        <v>53</v>
      </c>
      <c r="BD7" s="12" t="s">
        <v>54</v>
      </c>
      <c r="BE7" s="12" t="s">
        <v>55</v>
      </c>
      <c r="BF7" s="12" t="s">
        <v>56</v>
      </c>
      <c r="BG7" s="12" t="s">
        <v>57</v>
      </c>
      <c r="BH7" s="12" t="s">
        <v>58</v>
      </c>
    </row>
    <row r="8" spans="2:60" x14ac:dyDescent="0.3">
      <c r="B8" t="str">
        <f>+C8&amp;D8</f>
        <v>WA2502STE1TC</v>
      </c>
      <c r="C8" s="14" t="s">
        <v>59</v>
      </c>
      <c r="D8" s="14" t="s">
        <v>60</v>
      </c>
      <c r="E8" s="15">
        <v>29950</v>
      </c>
      <c r="F8" s="16">
        <f>SUM(H8:BH8)</f>
        <v>17292</v>
      </c>
      <c r="G8" s="17">
        <f>+F8/E8</f>
        <v>0.57736227045075128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20</v>
      </c>
      <c r="Q8" s="18">
        <v>193</v>
      </c>
      <c r="R8" s="18">
        <v>350</v>
      </c>
      <c r="S8" s="18">
        <v>384</v>
      </c>
      <c r="T8" s="18">
        <v>597</v>
      </c>
      <c r="U8" s="18">
        <v>485</v>
      </c>
      <c r="V8" s="18">
        <v>538</v>
      </c>
      <c r="W8" s="18">
        <v>763</v>
      </c>
      <c r="X8" s="18">
        <v>781</v>
      </c>
      <c r="Y8" s="18">
        <v>546</v>
      </c>
      <c r="Z8" s="18">
        <v>823</v>
      </c>
      <c r="AA8" s="18">
        <v>502</v>
      </c>
      <c r="AB8" s="18">
        <v>514</v>
      </c>
      <c r="AC8" s="18">
        <v>830</v>
      </c>
      <c r="AD8" s="18">
        <v>625</v>
      </c>
      <c r="AE8" s="18">
        <v>633</v>
      </c>
      <c r="AF8" s="18">
        <v>1052</v>
      </c>
      <c r="AG8" s="18">
        <v>1100</v>
      </c>
      <c r="AH8" s="18">
        <v>531</v>
      </c>
      <c r="AI8" s="18">
        <v>681</v>
      </c>
      <c r="AJ8" s="18">
        <v>442</v>
      </c>
      <c r="AK8" s="18">
        <v>550</v>
      </c>
      <c r="AL8" s="18">
        <v>648</v>
      </c>
      <c r="AM8" s="18">
        <v>540</v>
      </c>
      <c r="AN8" s="18">
        <v>410</v>
      </c>
      <c r="AO8" s="18">
        <v>476</v>
      </c>
      <c r="AP8" s="18">
        <v>248</v>
      </c>
      <c r="AQ8" s="18">
        <v>228</v>
      </c>
      <c r="AR8" s="18">
        <v>242</v>
      </c>
      <c r="AS8" s="18">
        <v>220</v>
      </c>
      <c r="AT8" s="18">
        <v>142</v>
      </c>
      <c r="AU8" s="18">
        <v>138</v>
      </c>
      <c r="AV8" s="19">
        <v>199</v>
      </c>
      <c r="AW8" s="18">
        <v>118</v>
      </c>
      <c r="AX8" s="18">
        <v>127</v>
      </c>
      <c r="AY8" s="18">
        <v>106</v>
      </c>
      <c r="AZ8" s="18">
        <v>54</v>
      </c>
      <c r="BA8" s="18">
        <v>67</v>
      </c>
      <c r="BB8" s="18">
        <v>70</v>
      </c>
      <c r="BC8" s="18">
        <v>66</v>
      </c>
      <c r="BD8" s="18">
        <v>51</v>
      </c>
      <c r="BE8" s="18">
        <v>56</v>
      </c>
      <c r="BF8" s="18">
        <v>59</v>
      </c>
      <c r="BG8" s="18">
        <v>65</v>
      </c>
      <c r="BH8" s="18">
        <v>22</v>
      </c>
    </row>
    <row r="9" spans="2:60" x14ac:dyDescent="0.3">
      <c r="B9" t="str">
        <f>+C9&amp;D9</f>
        <v>WA2502STE1BK</v>
      </c>
      <c r="C9" s="20" t="str">
        <f>+C8</f>
        <v>WA2502STE1</v>
      </c>
      <c r="D9" s="20" t="s">
        <v>61</v>
      </c>
      <c r="E9" s="21">
        <v>10072</v>
      </c>
      <c r="F9" s="22">
        <f>SUM(H9:BH9)</f>
        <v>3081</v>
      </c>
      <c r="G9" s="23">
        <f>+F9/E9</f>
        <v>0.30589753772835582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3</v>
      </c>
      <c r="Q9" s="24">
        <v>26</v>
      </c>
      <c r="R9" s="24">
        <v>65</v>
      </c>
      <c r="S9" s="24">
        <v>66</v>
      </c>
      <c r="T9" s="24">
        <v>104</v>
      </c>
      <c r="U9" s="24">
        <v>77</v>
      </c>
      <c r="V9" s="24">
        <v>87</v>
      </c>
      <c r="W9" s="24">
        <v>126</v>
      </c>
      <c r="X9" s="24">
        <v>137</v>
      </c>
      <c r="Y9" s="24">
        <v>85</v>
      </c>
      <c r="Z9" s="24">
        <v>87</v>
      </c>
      <c r="AA9" s="24">
        <v>61</v>
      </c>
      <c r="AB9" s="24">
        <v>96</v>
      </c>
      <c r="AC9" s="24">
        <v>88</v>
      </c>
      <c r="AD9" s="24">
        <v>140</v>
      </c>
      <c r="AE9" s="24">
        <v>105</v>
      </c>
      <c r="AF9" s="24">
        <v>189</v>
      </c>
      <c r="AG9" s="24">
        <v>180</v>
      </c>
      <c r="AH9" s="24">
        <v>103</v>
      </c>
      <c r="AI9" s="24">
        <v>95</v>
      </c>
      <c r="AJ9" s="24">
        <v>75</v>
      </c>
      <c r="AK9" s="24">
        <v>78</v>
      </c>
      <c r="AL9" s="24">
        <v>97</v>
      </c>
      <c r="AM9" s="24">
        <v>104</v>
      </c>
      <c r="AN9" s="24">
        <v>72</v>
      </c>
      <c r="AO9" s="24">
        <v>91</v>
      </c>
      <c r="AP9" s="24">
        <v>62</v>
      </c>
      <c r="AQ9" s="24">
        <v>71</v>
      </c>
      <c r="AR9" s="24">
        <v>55</v>
      </c>
      <c r="AS9" s="24">
        <v>57</v>
      </c>
      <c r="AT9" s="24">
        <v>53</v>
      </c>
      <c r="AU9" s="24">
        <v>38</v>
      </c>
      <c r="AV9" s="25">
        <v>49</v>
      </c>
      <c r="AW9" s="24">
        <v>39</v>
      </c>
      <c r="AX9" s="24">
        <v>42</v>
      </c>
      <c r="AY9" s="24">
        <v>28</v>
      </c>
      <c r="AZ9" s="24">
        <v>24</v>
      </c>
      <c r="BA9" s="24">
        <v>16</v>
      </c>
      <c r="BB9" s="24">
        <v>13</v>
      </c>
      <c r="BC9" s="24">
        <v>26</v>
      </c>
      <c r="BD9" s="24">
        <v>19</v>
      </c>
      <c r="BE9" s="24">
        <v>10</v>
      </c>
      <c r="BF9" s="24">
        <v>18</v>
      </c>
      <c r="BG9" s="24">
        <v>16</v>
      </c>
      <c r="BH9" s="24">
        <v>8</v>
      </c>
    </row>
    <row r="10" spans="2:60" s="26" customFormat="1" x14ac:dyDescent="0.3">
      <c r="C10" s="27" t="s">
        <v>73</v>
      </c>
      <c r="D10" s="28"/>
      <c r="E10" s="29" t="s">
        <v>62</v>
      </c>
      <c r="F10" s="30"/>
      <c r="G10" s="31"/>
      <c r="H10" s="17"/>
      <c r="I10" s="17">
        <f>IFERROR(I8/H8-1,)</f>
        <v>0</v>
      </c>
      <c r="J10" s="17">
        <f t="shared" ref="J10:BH11" si="1">IFERROR(J8/I8-1,)</f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8.65</v>
      </c>
      <c r="R10" s="17">
        <f t="shared" si="1"/>
        <v>0.81347150259067358</v>
      </c>
      <c r="S10" s="17">
        <f t="shared" si="1"/>
        <v>9.7142857142857197E-2</v>
      </c>
      <c r="T10" s="17">
        <f t="shared" si="1"/>
        <v>0.5546875</v>
      </c>
      <c r="U10" s="17">
        <f t="shared" si="1"/>
        <v>-0.18760469011725289</v>
      </c>
      <c r="V10" s="17">
        <f t="shared" si="1"/>
        <v>0.10927835051546397</v>
      </c>
      <c r="W10" s="17">
        <f t="shared" si="1"/>
        <v>0.41821561338289959</v>
      </c>
      <c r="X10" s="17">
        <f t="shared" si="1"/>
        <v>2.3591087811271283E-2</v>
      </c>
      <c r="Y10" s="17">
        <f t="shared" si="1"/>
        <v>-0.30089628681177982</v>
      </c>
      <c r="Z10" s="17">
        <f t="shared" si="1"/>
        <v>0.5073260073260073</v>
      </c>
      <c r="AA10" s="17">
        <f t="shared" si="1"/>
        <v>-0.39003645200486026</v>
      </c>
      <c r="AB10" s="17">
        <f t="shared" si="1"/>
        <v>2.3904382470119501E-2</v>
      </c>
      <c r="AC10" s="17">
        <f t="shared" si="1"/>
        <v>0.61478599221789887</v>
      </c>
      <c r="AD10" s="17">
        <f t="shared" si="1"/>
        <v>-0.24698795180722888</v>
      </c>
      <c r="AE10" s="17">
        <f t="shared" si="1"/>
        <v>1.2799999999999923E-2</v>
      </c>
      <c r="AF10" s="17">
        <f t="shared" si="1"/>
        <v>0.66192733017377559</v>
      </c>
      <c r="AG10" s="17">
        <f t="shared" si="1"/>
        <v>4.5627376425855459E-2</v>
      </c>
      <c r="AH10" s="17">
        <f t="shared" si="1"/>
        <v>-0.51727272727272733</v>
      </c>
      <c r="AI10" s="17">
        <f t="shared" si="1"/>
        <v>0.28248587570621475</v>
      </c>
      <c r="AJ10" s="17">
        <f t="shared" si="1"/>
        <v>-0.35095447870778262</v>
      </c>
      <c r="AK10" s="17">
        <f t="shared" si="1"/>
        <v>0.24434389140271495</v>
      </c>
      <c r="AL10" s="17">
        <f t="shared" si="1"/>
        <v>0.17818181818181822</v>
      </c>
      <c r="AM10" s="17">
        <f t="shared" si="1"/>
        <v>-0.16666666666666663</v>
      </c>
      <c r="AN10" s="17">
        <f t="shared" si="1"/>
        <v>-0.2407407407407407</v>
      </c>
      <c r="AO10" s="17">
        <f t="shared" si="1"/>
        <v>0.16097560975609748</v>
      </c>
      <c r="AP10" s="17">
        <f t="shared" si="1"/>
        <v>-0.47899159663865543</v>
      </c>
      <c r="AQ10" s="17">
        <f t="shared" si="1"/>
        <v>-8.064516129032262E-2</v>
      </c>
      <c r="AR10" s="17">
        <f t="shared" si="1"/>
        <v>6.1403508771929793E-2</v>
      </c>
      <c r="AS10" s="17">
        <f t="shared" si="1"/>
        <v>-9.0909090909090939E-2</v>
      </c>
      <c r="AT10" s="17">
        <f t="shared" si="1"/>
        <v>-0.3545454545454545</v>
      </c>
      <c r="AU10" s="17">
        <f t="shared" si="1"/>
        <v>-2.8169014084507005E-2</v>
      </c>
      <c r="AV10" s="32">
        <f t="shared" si="1"/>
        <v>0.44202898550724634</v>
      </c>
      <c r="AW10" s="17">
        <f t="shared" si="1"/>
        <v>-0.40703517587939697</v>
      </c>
      <c r="AX10" s="17">
        <f t="shared" si="1"/>
        <v>7.6271186440677985E-2</v>
      </c>
      <c r="AY10" s="17">
        <f t="shared" si="1"/>
        <v>-0.16535433070866146</v>
      </c>
      <c r="AZ10" s="17">
        <f t="shared" si="1"/>
        <v>-0.49056603773584906</v>
      </c>
      <c r="BA10" s="17">
        <f t="shared" si="1"/>
        <v>0.2407407407407407</v>
      </c>
      <c r="BB10" s="17">
        <f t="shared" si="1"/>
        <v>4.4776119402984982E-2</v>
      </c>
      <c r="BC10" s="17">
        <f t="shared" si="1"/>
        <v>-5.7142857142857162E-2</v>
      </c>
      <c r="BD10" s="17">
        <f t="shared" si="1"/>
        <v>-0.22727272727272729</v>
      </c>
      <c r="BE10" s="17">
        <f t="shared" si="1"/>
        <v>9.8039215686274606E-2</v>
      </c>
      <c r="BF10" s="17">
        <f t="shared" si="1"/>
        <v>5.3571428571428603E-2</v>
      </c>
      <c r="BG10" s="17">
        <f t="shared" si="1"/>
        <v>0.10169491525423724</v>
      </c>
      <c r="BH10" s="17">
        <f t="shared" si="1"/>
        <v>-0.66153846153846152</v>
      </c>
    </row>
    <row r="11" spans="2:60" x14ac:dyDescent="0.3">
      <c r="C11" s="33"/>
      <c r="D11" s="34">
        <v>49000</v>
      </c>
      <c r="E11" s="35"/>
      <c r="F11" s="36"/>
      <c r="G11" s="37"/>
      <c r="H11" s="24"/>
      <c r="I11" s="23">
        <f>IFERROR(I9/H9-1,)</f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 t="shared" si="1"/>
        <v>0</v>
      </c>
      <c r="Q11" s="23">
        <f t="shared" si="1"/>
        <v>7.6666666666666661</v>
      </c>
      <c r="R11" s="23">
        <f t="shared" si="1"/>
        <v>1.5</v>
      </c>
      <c r="S11" s="23">
        <f t="shared" si="1"/>
        <v>1.538461538461533E-2</v>
      </c>
      <c r="T11" s="23">
        <f t="shared" si="1"/>
        <v>0.57575757575757569</v>
      </c>
      <c r="U11" s="23">
        <f t="shared" si="1"/>
        <v>-0.25961538461538458</v>
      </c>
      <c r="V11" s="23">
        <f t="shared" si="1"/>
        <v>0.12987012987012991</v>
      </c>
      <c r="W11" s="23">
        <f t="shared" si="1"/>
        <v>0.44827586206896552</v>
      </c>
      <c r="X11" s="23">
        <f t="shared" si="1"/>
        <v>8.7301587301587213E-2</v>
      </c>
      <c r="Y11" s="23">
        <f t="shared" si="1"/>
        <v>-0.37956204379562042</v>
      </c>
      <c r="Z11" s="23">
        <f t="shared" si="1"/>
        <v>2.3529411764705799E-2</v>
      </c>
      <c r="AA11" s="23">
        <f t="shared" si="1"/>
        <v>-0.29885057471264365</v>
      </c>
      <c r="AB11" s="23">
        <f t="shared" si="1"/>
        <v>0.57377049180327866</v>
      </c>
      <c r="AC11" s="23">
        <f t="shared" si="1"/>
        <v>-8.333333333333337E-2</v>
      </c>
      <c r="AD11" s="23">
        <f t="shared" si="1"/>
        <v>0.59090909090909083</v>
      </c>
      <c r="AE11" s="23">
        <f t="shared" si="1"/>
        <v>-0.25</v>
      </c>
      <c r="AF11" s="23">
        <f t="shared" si="1"/>
        <v>0.8</v>
      </c>
      <c r="AG11" s="23">
        <f t="shared" si="1"/>
        <v>-4.7619047619047672E-2</v>
      </c>
      <c r="AH11" s="23">
        <f t="shared" si="1"/>
        <v>-0.42777777777777781</v>
      </c>
      <c r="AI11" s="23">
        <f t="shared" si="1"/>
        <v>-7.7669902912621325E-2</v>
      </c>
      <c r="AJ11" s="23">
        <f t="shared" si="1"/>
        <v>-0.21052631578947367</v>
      </c>
      <c r="AK11" s="23">
        <f t="shared" si="1"/>
        <v>4.0000000000000036E-2</v>
      </c>
      <c r="AL11" s="23">
        <f t="shared" si="1"/>
        <v>0.24358974358974361</v>
      </c>
      <c r="AM11" s="23">
        <f t="shared" si="1"/>
        <v>7.2164948453608213E-2</v>
      </c>
      <c r="AN11" s="23">
        <f t="shared" si="1"/>
        <v>-0.30769230769230771</v>
      </c>
      <c r="AO11" s="23">
        <f t="shared" si="1"/>
        <v>0.26388888888888884</v>
      </c>
      <c r="AP11" s="23">
        <f t="shared" si="1"/>
        <v>-0.31868131868131866</v>
      </c>
      <c r="AQ11" s="23">
        <f t="shared" si="1"/>
        <v>0.14516129032258074</v>
      </c>
      <c r="AR11" s="23">
        <f t="shared" si="1"/>
        <v>-0.22535211267605637</v>
      </c>
      <c r="AS11" s="23">
        <f t="shared" si="1"/>
        <v>3.6363636363636376E-2</v>
      </c>
      <c r="AT11" s="23">
        <f t="shared" si="1"/>
        <v>-7.0175438596491224E-2</v>
      </c>
      <c r="AU11" s="23">
        <f t="shared" si="1"/>
        <v>-0.28301886792452835</v>
      </c>
      <c r="AV11" s="38">
        <f t="shared" si="1"/>
        <v>0.28947368421052633</v>
      </c>
      <c r="AW11" s="23">
        <f t="shared" si="1"/>
        <v>-0.20408163265306123</v>
      </c>
      <c r="AX11" s="23">
        <f t="shared" si="1"/>
        <v>7.6923076923076872E-2</v>
      </c>
      <c r="AY11" s="23">
        <f t="shared" si="1"/>
        <v>-0.33333333333333337</v>
      </c>
      <c r="AZ11" s="23">
        <f t="shared" si="1"/>
        <v>-0.1428571428571429</v>
      </c>
      <c r="BA11" s="23">
        <f t="shared" si="1"/>
        <v>-0.33333333333333337</v>
      </c>
      <c r="BB11" s="23">
        <f t="shared" si="1"/>
        <v>-0.1875</v>
      </c>
      <c r="BC11" s="23">
        <f t="shared" si="1"/>
        <v>1</v>
      </c>
      <c r="BD11" s="23">
        <f t="shared" si="1"/>
        <v>-0.26923076923076927</v>
      </c>
      <c r="BE11" s="23">
        <f t="shared" si="1"/>
        <v>-0.47368421052631582</v>
      </c>
      <c r="BF11" s="23">
        <f t="shared" si="1"/>
        <v>0.8</v>
      </c>
      <c r="BG11" s="23">
        <f t="shared" si="1"/>
        <v>-0.11111111111111116</v>
      </c>
      <c r="BH11" s="23">
        <f t="shared" si="1"/>
        <v>-0.5</v>
      </c>
    </row>
    <row r="12" spans="2:60" s="39" customFormat="1" x14ac:dyDescent="0.3">
      <c r="C12" s="40"/>
      <c r="D12" s="41"/>
      <c r="E12" s="42" t="s">
        <v>63</v>
      </c>
      <c r="F12" s="43"/>
      <c r="G12" s="44"/>
      <c r="H12" s="15">
        <f>+SUM($H$8:H8)</f>
        <v>0</v>
      </c>
      <c r="I12" s="15">
        <f>+SUM($H$8:I8)</f>
        <v>0</v>
      </c>
      <c r="J12" s="15">
        <f>+SUM($H$8:J8)</f>
        <v>0</v>
      </c>
      <c r="K12" s="15">
        <f>+SUM($H$8:K8)</f>
        <v>0</v>
      </c>
      <c r="L12" s="15">
        <f>+SUM($H$8:L8)</f>
        <v>0</v>
      </c>
      <c r="M12" s="15">
        <f>+SUM($H$8:M8)</f>
        <v>0</v>
      </c>
      <c r="N12" s="15">
        <f>+SUM($H$8:N8)</f>
        <v>0</v>
      </c>
      <c r="O12" s="15">
        <f>+SUM($H$8:O8)</f>
        <v>0</v>
      </c>
      <c r="P12" s="15">
        <f>+SUM($H$8:P8)</f>
        <v>20</v>
      </c>
      <c r="Q12" s="15">
        <f>+SUM($H$8:Q8)</f>
        <v>213</v>
      </c>
      <c r="R12" s="15">
        <f>+SUM($H$8:R8)</f>
        <v>563</v>
      </c>
      <c r="S12" s="15">
        <f>+SUM($H$8:S8)</f>
        <v>947</v>
      </c>
      <c r="T12" s="15">
        <f>+SUM($H$8:T8)</f>
        <v>1544</v>
      </c>
      <c r="U12" s="15">
        <f>+SUM($H$8:U8)</f>
        <v>2029</v>
      </c>
      <c r="V12" s="15">
        <f>+SUM($H$8:V8)</f>
        <v>2567</v>
      </c>
      <c r="W12" s="15">
        <f>+SUM($H$8:W8)</f>
        <v>3330</v>
      </c>
      <c r="X12" s="15">
        <f>+SUM($H$8:X8)</f>
        <v>4111</v>
      </c>
      <c r="Y12" s="15">
        <f>+SUM($H$8:Y8)</f>
        <v>4657</v>
      </c>
      <c r="Z12" s="15">
        <f>+SUM($H$8:Z8)</f>
        <v>5480</v>
      </c>
      <c r="AA12" s="15">
        <f>+SUM($H$8:AA8)</f>
        <v>5982</v>
      </c>
      <c r="AB12" s="15">
        <f>+SUM($H$8:AB8)</f>
        <v>6496</v>
      </c>
      <c r="AC12" s="15">
        <f>+SUM($H$8:AC8)</f>
        <v>7326</v>
      </c>
      <c r="AD12" s="15">
        <f>+SUM($H$8:AD8)</f>
        <v>7951</v>
      </c>
      <c r="AE12" s="15">
        <f>+SUM($H$8:AE8)</f>
        <v>8584</v>
      </c>
      <c r="AF12" s="15">
        <f>+SUM($H$8:AF8)</f>
        <v>9636</v>
      </c>
      <c r="AG12" s="15">
        <f>+SUM($H$8:AG8)</f>
        <v>10736</v>
      </c>
      <c r="AH12" s="15">
        <f>+SUM($H$8:AH8)</f>
        <v>11267</v>
      </c>
      <c r="AI12" s="15">
        <f>+SUM($H$8:AI8)</f>
        <v>11948</v>
      </c>
      <c r="AJ12" s="15">
        <f>+SUM($H$8:AJ8)</f>
        <v>12390</v>
      </c>
      <c r="AK12" s="15">
        <f>+SUM($H$8:AK8)</f>
        <v>12940</v>
      </c>
      <c r="AL12" s="15">
        <f>+SUM($H$8:AL8)</f>
        <v>13588</v>
      </c>
      <c r="AM12" s="15">
        <f>+SUM($H$8:AM8)</f>
        <v>14128</v>
      </c>
      <c r="AN12" s="15">
        <f>+SUM($H$8:AN8)</f>
        <v>14538</v>
      </c>
      <c r="AO12" s="15">
        <f>+SUM($H$8:AO8)</f>
        <v>15014</v>
      </c>
      <c r="AP12" s="15">
        <f>+SUM($H$8:AP8)</f>
        <v>15262</v>
      </c>
      <c r="AQ12" s="15">
        <f>+SUM($H$8:AQ8)</f>
        <v>15490</v>
      </c>
      <c r="AR12" s="15">
        <f>+SUM($H$8:AR8)</f>
        <v>15732</v>
      </c>
      <c r="AS12" s="15">
        <f>+SUM($H$8:AS8)</f>
        <v>15952</v>
      </c>
      <c r="AT12" s="15">
        <f>+SUM($H$8:AT8)</f>
        <v>16094</v>
      </c>
      <c r="AU12" s="15">
        <f>+SUM($H$8:AU8)</f>
        <v>16232</v>
      </c>
      <c r="AV12" s="45">
        <f>+SUM($H$8:AV8)</f>
        <v>16431</v>
      </c>
      <c r="AW12" s="15">
        <f>+SUM($H$8:AW8)</f>
        <v>16549</v>
      </c>
      <c r="AX12" s="15">
        <f>+SUM($H$8:AX8)</f>
        <v>16676</v>
      </c>
      <c r="AY12" s="15">
        <f>+SUM($H$8:AY8)</f>
        <v>16782</v>
      </c>
      <c r="AZ12" s="15">
        <f>+SUM($H$8:AZ8)</f>
        <v>16836</v>
      </c>
      <c r="BA12" s="15">
        <f>+SUM($H$8:BA8)</f>
        <v>16903</v>
      </c>
      <c r="BB12" s="15">
        <f>+SUM($H$8:BB8)</f>
        <v>16973</v>
      </c>
      <c r="BC12" s="15">
        <f>+SUM($H$8:BC8)</f>
        <v>17039</v>
      </c>
      <c r="BD12" s="15">
        <f>+SUM($H$8:BD8)</f>
        <v>17090</v>
      </c>
      <c r="BE12" s="15">
        <f>+SUM($H$8:BE8)</f>
        <v>17146</v>
      </c>
      <c r="BF12" s="15">
        <f>+SUM($H$8:BF8)</f>
        <v>17205</v>
      </c>
      <c r="BG12" s="15">
        <f>+SUM($H$8:BG8)</f>
        <v>17270</v>
      </c>
      <c r="BH12" s="15">
        <f>+SUM($H$8:BH8)</f>
        <v>17292</v>
      </c>
    </row>
    <row r="13" spans="2:60" x14ac:dyDescent="0.3">
      <c r="C13" s="40"/>
      <c r="D13" s="41"/>
      <c r="E13" s="46"/>
      <c r="F13" s="47"/>
      <c r="G13" s="48"/>
      <c r="H13" s="21">
        <f>+SUM($H$9:H9)</f>
        <v>0</v>
      </c>
      <c r="I13" s="21">
        <f>+SUM($H$9:I9)</f>
        <v>0</v>
      </c>
      <c r="J13" s="21">
        <f>+SUM($H$9:J9)</f>
        <v>0</v>
      </c>
      <c r="K13" s="21">
        <f>+SUM($H$9:K9)</f>
        <v>0</v>
      </c>
      <c r="L13" s="21">
        <f>+SUM($H$9:L9)</f>
        <v>0</v>
      </c>
      <c r="M13" s="21">
        <f>+SUM($H$9:M9)</f>
        <v>0</v>
      </c>
      <c r="N13" s="21">
        <f>+SUM($H$9:N9)</f>
        <v>0</v>
      </c>
      <c r="O13" s="21">
        <f>+SUM($H$9:O9)</f>
        <v>0</v>
      </c>
      <c r="P13" s="21">
        <f>+SUM($H$9:P9)</f>
        <v>3</v>
      </c>
      <c r="Q13" s="21">
        <f>+SUM($H$9:Q9)</f>
        <v>29</v>
      </c>
      <c r="R13" s="21">
        <f>+SUM($H$9:R9)</f>
        <v>94</v>
      </c>
      <c r="S13" s="21">
        <f>+SUM($H$9:S9)</f>
        <v>160</v>
      </c>
      <c r="T13" s="21">
        <f>+SUM($H$9:T9)</f>
        <v>264</v>
      </c>
      <c r="U13" s="21">
        <f>+SUM($H$9:U9)</f>
        <v>341</v>
      </c>
      <c r="V13" s="21">
        <f>+SUM($H$9:V9)</f>
        <v>428</v>
      </c>
      <c r="W13" s="21">
        <f>+SUM($H$9:W9)</f>
        <v>554</v>
      </c>
      <c r="X13" s="21">
        <f>+SUM($H$9:X9)</f>
        <v>691</v>
      </c>
      <c r="Y13" s="21">
        <f>+SUM($H$9:Y9)</f>
        <v>776</v>
      </c>
      <c r="Z13" s="21">
        <f>+SUM($H$9:Z9)</f>
        <v>863</v>
      </c>
      <c r="AA13" s="21">
        <f>+SUM($H$9:AA9)</f>
        <v>924</v>
      </c>
      <c r="AB13" s="21">
        <f>+SUM($H$9:AB9)</f>
        <v>1020</v>
      </c>
      <c r="AC13" s="21">
        <f>+SUM($H$9:AC9)</f>
        <v>1108</v>
      </c>
      <c r="AD13" s="21">
        <f>+SUM($H$9:AD9)</f>
        <v>1248</v>
      </c>
      <c r="AE13" s="21">
        <f>+SUM($H$9:AE9)</f>
        <v>1353</v>
      </c>
      <c r="AF13" s="21">
        <f>+SUM($H$9:AF9)</f>
        <v>1542</v>
      </c>
      <c r="AG13" s="21">
        <f>+SUM($H$9:AG9)</f>
        <v>1722</v>
      </c>
      <c r="AH13" s="21">
        <f>+SUM($H$9:AH9)</f>
        <v>1825</v>
      </c>
      <c r="AI13" s="21">
        <f>+SUM($H$9:AI9)</f>
        <v>1920</v>
      </c>
      <c r="AJ13" s="21">
        <f>+SUM($H$9:AJ9)</f>
        <v>1995</v>
      </c>
      <c r="AK13" s="21">
        <f>+SUM($H$9:AK9)</f>
        <v>2073</v>
      </c>
      <c r="AL13" s="21">
        <f>+SUM($H$9:AL9)</f>
        <v>2170</v>
      </c>
      <c r="AM13" s="21">
        <f>+SUM($H$9:AM9)</f>
        <v>2274</v>
      </c>
      <c r="AN13" s="21">
        <f>+SUM($H$9:AN9)</f>
        <v>2346</v>
      </c>
      <c r="AO13" s="21">
        <f>+SUM($H$9:AO9)</f>
        <v>2437</v>
      </c>
      <c r="AP13" s="21">
        <f>+SUM($H$9:AP9)</f>
        <v>2499</v>
      </c>
      <c r="AQ13" s="21">
        <f>+SUM($H$9:AQ9)</f>
        <v>2570</v>
      </c>
      <c r="AR13" s="21">
        <f>+SUM($H$9:AR9)</f>
        <v>2625</v>
      </c>
      <c r="AS13" s="21">
        <f>+SUM($H$9:AS9)</f>
        <v>2682</v>
      </c>
      <c r="AT13" s="21">
        <f>+SUM($H$9:AT9)</f>
        <v>2735</v>
      </c>
      <c r="AU13" s="21">
        <f>+SUM($H$9:AU9)</f>
        <v>2773</v>
      </c>
      <c r="AV13" s="49">
        <f>+SUM($H$9:AV9)</f>
        <v>2822</v>
      </c>
      <c r="AW13" s="21">
        <f>+SUM($H$9:AW9)</f>
        <v>2861</v>
      </c>
      <c r="AX13" s="21">
        <f>+SUM($H$9:AX9)</f>
        <v>2903</v>
      </c>
      <c r="AY13" s="21">
        <f>+SUM($H$9:AY9)</f>
        <v>2931</v>
      </c>
      <c r="AZ13" s="21">
        <f>+SUM($H$9:AZ9)</f>
        <v>2955</v>
      </c>
      <c r="BA13" s="21">
        <f>+SUM($H$9:BA9)</f>
        <v>2971</v>
      </c>
      <c r="BB13" s="21">
        <f>+SUM($H$9:BB9)</f>
        <v>2984</v>
      </c>
      <c r="BC13" s="21">
        <f>+SUM($H$9:BC9)</f>
        <v>3010</v>
      </c>
      <c r="BD13" s="21">
        <f>+SUM($H$9:BD9)</f>
        <v>3029</v>
      </c>
      <c r="BE13" s="21">
        <f>+SUM($H$9:BE9)</f>
        <v>3039</v>
      </c>
      <c r="BF13" s="21">
        <f>+SUM($H$9:BF9)</f>
        <v>3057</v>
      </c>
      <c r="BG13" s="21">
        <f>+SUM($H$9:BG9)</f>
        <v>3073</v>
      </c>
      <c r="BH13" s="21">
        <f>+SUM($H$9:BH9)</f>
        <v>3081</v>
      </c>
    </row>
    <row r="14" spans="2:60" x14ac:dyDescent="0.3">
      <c r="C14" s="40"/>
      <c r="D14" s="41"/>
      <c r="E14" s="50" t="s">
        <v>64</v>
      </c>
      <c r="F14" s="51"/>
      <c r="G14" s="52"/>
      <c r="H14" s="53">
        <f>+IF(H12=0,0,$E8-H12)</f>
        <v>0</v>
      </c>
      <c r="I14" s="53">
        <f t="shared" ref="I14:BH15" si="2">+IF(I12=0,0,$E8-I12)</f>
        <v>0</v>
      </c>
      <c r="J14" s="53">
        <f t="shared" si="2"/>
        <v>0</v>
      </c>
      <c r="K14" s="53">
        <f t="shared" si="2"/>
        <v>0</v>
      </c>
      <c r="L14" s="53">
        <f t="shared" si="2"/>
        <v>0</v>
      </c>
      <c r="M14" s="53">
        <f t="shared" si="2"/>
        <v>0</v>
      </c>
      <c r="N14" s="53">
        <f t="shared" si="2"/>
        <v>0</v>
      </c>
      <c r="O14" s="53">
        <f t="shared" si="2"/>
        <v>0</v>
      </c>
      <c r="P14" s="53">
        <f t="shared" si="2"/>
        <v>29930</v>
      </c>
      <c r="Q14" s="53">
        <f t="shared" si="2"/>
        <v>29737</v>
      </c>
      <c r="R14" s="53">
        <f t="shared" si="2"/>
        <v>29387</v>
      </c>
      <c r="S14" s="53">
        <f t="shared" si="2"/>
        <v>29003</v>
      </c>
      <c r="T14" s="53">
        <f t="shared" si="2"/>
        <v>28406</v>
      </c>
      <c r="U14" s="53">
        <f t="shared" si="2"/>
        <v>27921</v>
      </c>
      <c r="V14" s="53">
        <f t="shared" si="2"/>
        <v>27383</v>
      </c>
      <c r="W14" s="53">
        <f t="shared" si="2"/>
        <v>26620</v>
      </c>
      <c r="X14" s="53">
        <f t="shared" si="2"/>
        <v>25839</v>
      </c>
      <c r="Y14" s="53">
        <f t="shared" si="2"/>
        <v>25293</v>
      </c>
      <c r="Z14" s="53">
        <f t="shared" si="2"/>
        <v>24470</v>
      </c>
      <c r="AA14" s="53">
        <f t="shared" si="2"/>
        <v>23968</v>
      </c>
      <c r="AB14" s="53">
        <f t="shared" si="2"/>
        <v>23454</v>
      </c>
      <c r="AC14" s="53">
        <f t="shared" si="2"/>
        <v>22624</v>
      </c>
      <c r="AD14" s="53">
        <f t="shared" si="2"/>
        <v>21999</v>
      </c>
      <c r="AE14" s="53">
        <f t="shared" si="2"/>
        <v>21366</v>
      </c>
      <c r="AF14" s="53">
        <f t="shared" si="2"/>
        <v>20314</v>
      </c>
      <c r="AG14" s="53">
        <f t="shared" si="2"/>
        <v>19214</v>
      </c>
      <c r="AH14" s="53">
        <f t="shared" si="2"/>
        <v>18683</v>
      </c>
      <c r="AI14" s="53">
        <f t="shared" si="2"/>
        <v>18002</v>
      </c>
      <c r="AJ14" s="53">
        <f t="shared" si="2"/>
        <v>17560</v>
      </c>
      <c r="AK14" s="53">
        <f t="shared" si="2"/>
        <v>17010</v>
      </c>
      <c r="AL14" s="53">
        <f t="shared" si="2"/>
        <v>16362</v>
      </c>
      <c r="AM14" s="53">
        <f t="shared" si="2"/>
        <v>15822</v>
      </c>
      <c r="AN14" s="53">
        <f t="shared" si="2"/>
        <v>15412</v>
      </c>
      <c r="AO14" s="53">
        <f t="shared" si="2"/>
        <v>14936</v>
      </c>
      <c r="AP14" s="53">
        <f t="shared" si="2"/>
        <v>14688</v>
      </c>
      <c r="AQ14" s="53">
        <f t="shared" si="2"/>
        <v>14460</v>
      </c>
      <c r="AR14" s="53">
        <f t="shared" si="2"/>
        <v>14218</v>
      </c>
      <c r="AS14" s="53">
        <f t="shared" si="2"/>
        <v>13998</v>
      </c>
      <c r="AT14" s="53">
        <f t="shared" si="2"/>
        <v>13856</v>
      </c>
      <c r="AU14" s="53">
        <f t="shared" si="2"/>
        <v>13718</v>
      </c>
      <c r="AV14" s="54">
        <f t="shared" si="2"/>
        <v>13519</v>
      </c>
      <c r="AW14" s="53">
        <f t="shared" si="2"/>
        <v>13401</v>
      </c>
      <c r="AX14" s="53">
        <f t="shared" si="2"/>
        <v>13274</v>
      </c>
      <c r="AY14" s="53">
        <f t="shared" si="2"/>
        <v>13168</v>
      </c>
      <c r="AZ14" s="53">
        <f t="shared" si="2"/>
        <v>13114</v>
      </c>
      <c r="BA14" s="53">
        <f t="shared" si="2"/>
        <v>13047</v>
      </c>
      <c r="BB14" s="53">
        <f t="shared" si="2"/>
        <v>12977</v>
      </c>
      <c r="BC14" s="53">
        <f t="shared" si="2"/>
        <v>12911</v>
      </c>
      <c r="BD14" s="53">
        <f t="shared" si="2"/>
        <v>12860</v>
      </c>
      <c r="BE14" s="53">
        <f t="shared" si="2"/>
        <v>12804</v>
      </c>
      <c r="BF14" s="53">
        <f t="shared" si="2"/>
        <v>12745</v>
      </c>
      <c r="BG14" s="53">
        <f t="shared" si="2"/>
        <v>12680</v>
      </c>
      <c r="BH14" s="53">
        <f t="shared" si="2"/>
        <v>12658</v>
      </c>
    </row>
    <row r="15" spans="2:60" x14ac:dyDescent="0.3">
      <c r="C15" s="40"/>
      <c r="D15" s="41"/>
      <c r="E15" s="55"/>
      <c r="F15" s="56"/>
      <c r="G15" s="57"/>
      <c r="H15" s="58">
        <f>+IF(H13=0,0,$E9-H13)</f>
        <v>0</v>
      </c>
      <c r="I15" s="58">
        <f t="shared" si="2"/>
        <v>0</v>
      </c>
      <c r="J15" s="58">
        <f t="shared" si="2"/>
        <v>0</v>
      </c>
      <c r="K15" s="58">
        <f t="shared" si="2"/>
        <v>0</v>
      </c>
      <c r="L15" s="58">
        <f t="shared" si="2"/>
        <v>0</v>
      </c>
      <c r="M15" s="58">
        <f t="shared" si="2"/>
        <v>0</v>
      </c>
      <c r="N15" s="58">
        <f t="shared" si="2"/>
        <v>0</v>
      </c>
      <c r="O15" s="58">
        <f t="shared" si="2"/>
        <v>0</v>
      </c>
      <c r="P15" s="58">
        <f t="shared" si="2"/>
        <v>10069</v>
      </c>
      <c r="Q15" s="58">
        <f t="shared" si="2"/>
        <v>10043</v>
      </c>
      <c r="R15" s="58">
        <f t="shared" si="2"/>
        <v>9978</v>
      </c>
      <c r="S15" s="58">
        <f t="shared" si="2"/>
        <v>9912</v>
      </c>
      <c r="T15" s="58">
        <f t="shared" si="2"/>
        <v>9808</v>
      </c>
      <c r="U15" s="58">
        <f t="shared" si="2"/>
        <v>9731</v>
      </c>
      <c r="V15" s="58">
        <f t="shared" si="2"/>
        <v>9644</v>
      </c>
      <c r="W15" s="58">
        <f t="shared" si="2"/>
        <v>9518</v>
      </c>
      <c r="X15" s="58">
        <f t="shared" si="2"/>
        <v>9381</v>
      </c>
      <c r="Y15" s="58">
        <f t="shared" si="2"/>
        <v>9296</v>
      </c>
      <c r="Z15" s="58">
        <f t="shared" si="2"/>
        <v>9209</v>
      </c>
      <c r="AA15" s="58">
        <f t="shared" si="2"/>
        <v>9148</v>
      </c>
      <c r="AB15" s="58">
        <f t="shared" si="2"/>
        <v>9052</v>
      </c>
      <c r="AC15" s="58">
        <f t="shared" si="2"/>
        <v>8964</v>
      </c>
      <c r="AD15" s="58">
        <f t="shared" si="2"/>
        <v>8824</v>
      </c>
      <c r="AE15" s="58">
        <f t="shared" si="2"/>
        <v>8719</v>
      </c>
      <c r="AF15" s="58">
        <f t="shared" si="2"/>
        <v>8530</v>
      </c>
      <c r="AG15" s="58">
        <f t="shared" si="2"/>
        <v>8350</v>
      </c>
      <c r="AH15" s="58">
        <f t="shared" si="2"/>
        <v>8247</v>
      </c>
      <c r="AI15" s="58">
        <f t="shared" si="2"/>
        <v>8152</v>
      </c>
      <c r="AJ15" s="58">
        <f t="shared" si="2"/>
        <v>8077</v>
      </c>
      <c r="AK15" s="58">
        <f t="shared" si="2"/>
        <v>7999</v>
      </c>
      <c r="AL15" s="58">
        <f t="shared" si="2"/>
        <v>7902</v>
      </c>
      <c r="AM15" s="58">
        <f t="shared" si="2"/>
        <v>7798</v>
      </c>
      <c r="AN15" s="58">
        <f t="shared" si="2"/>
        <v>7726</v>
      </c>
      <c r="AO15" s="58">
        <f t="shared" si="2"/>
        <v>7635</v>
      </c>
      <c r="AP15" s="58">
        <f t="shared" si="2"/>
        <v>7573</v>
      </c>
      <c r="AQ15" s="58">
        <f t="shared" si="2"/>
        <v>7502</v>
      </c>
      <c r="AR15" s="58">
        <f t="shared" si="2"/>
        <v>7447</v>
      </c>
      <c r="AS15" s="58">
        <f t="shared" si="2"/>
        <v>7390</v>
      </c>
      <c r="AT15" s="58">
        <f t="shared" si="2"/>
        <v>7337</v>
      </c>
      <c r="AU15" s="58">
        <f t="shared" si="2"/>
        <v>7299</v>
      </c>
      <c r="AV15" s="59">
        <f t="shared" si="2"/>
        <v>7250</v>
      </c>
      <c r="AW15" s="58">
        <f t="shared" si="2"/>
        <v>7211</v>
      </c>
      <c r="AX15" s="58">
        <f t="shared" si="2"/>
        <v>7169</v>
      </c>
      <c r="AY15" s="58">
        <f t="shared" si="2"/>
        <v>7141</v>
      </c>
      <c r="AZ15" s="58">
        <f t="shared" si="2"/>
        <v>7117</v>
      </c>
      <c r="BA15" s="58">
        <f t="shared" si="2"/>
        <v>7101</v>
      </c>
      <c r="BB15" s="58">
        <f t="shared" si="2"/>
        <v>7088</v>
      </c>
      <c r="BC15" s="58">
        <f t="shared" si="2"/>
        <v>7062</v>
      </c>
      <c r="BD15" s="58">
        <f t="shared" si="2"/>
        <v>7043</v>
      </c>
      <c r="BE15" s="58">
        <f t="shared" si="2"/>
        <v>7033</v>
      </c>
      <c r="BF15" s="58">
        <f t="shared" si="2"/>
        <v>7015</v>
      </c>
      <c r="BG15" s="58">
        <f t="shared" si="2"/>
        <v>6999</v>
      </c>
      <c r="BH15" s="58">
        <f t="shared" si="2"/>
        <v>6991</v>
      </c>
    </row>
    <row r="16" spans="2:60" x14ac:dyDescent="0.3">
      <c r="C16" s="40"/>
      <c r="D16" s="41"/>
      <c r="E16" s="50" t="s">
        <v>5</v>
      </c>
      <c r="F16" s="51"/>
      <c r="G16" s="52"/>
      <c r="H16" s="17">
        <f>IFERROR(H12/$E8,)</f>
        <v>0</v>
      </c>
      <c r="I16" s="17">
        <f t="shared" ref="I16:BH17" si="3">IFERROR(I12/$E8,)</f>
        <v>0</v>
      </c>
      <c r="J16" s="17">
        <f t="shared" si="3"/>
        <v>0</v>
      </c>
      <c r="K16" s="17">
        <f t="shared" si="3"/>
        <v>0</v>
      </c>
      <c r="L16" s="17">
        <f t="shared" si="3"/>
        <v>0</v>
      </c>
      <c r="M16" s="17">
        <f t="shared" si="3"/>
        <v>0</v>
      </c>
      <c r="N16" s="17">
        <f t="shared" si="3"/>
        <v>0</v>
      </c>
      <c r="O16" s="17">
        <f t="shared" si="3"/>
        <v>0</v>
      </c>
      <c r="P16" s="17">
        <f t="shared" si="3"/>
        <v>6.67779632721202E-4</v>
      </c>
      <c r="Q16" s="17">
        <f t="shared" si="3"/>
        <v>7.1118530884808013E-3</v>
      </c>
      <c r="R16" s="17">
        <f t="shared" si="3"/>
        <v>1.8797996661101837E-2</v>
      </c>
      <c r="S16" s="17">
        <f t="shared" si="3"/>
        <v>3.1619365609348915E-2</v>
      </c>
      <c r="T16" s="17">
        <f t="shared" si="3"/>
        <v>5.1552587646076793E-2</v>
      </c>
      <c r="U16" s="17">
        <f t="shared" si="3"/>
        <v>6.7746243739565948E-2</v>
      </c>
      <c r="V16" s="17">
        <f t="shared" si="3"/>
        <v>8.5709515859766272E-2</v>
      </c>
      <c r="W16" s="17">
        <f t="shared" si="3"/>
        <v>0.11118530884808013</v>
      </c>
      <c r="X16" s="17">
        <f t="shared" si="3"/>
        <v>0.13726210350584306</v>
      </c>
      <c r="Y16" s="17">
        <f t="shared" si="3"/>
        <v>0.15549248747913189</v>
      </c>
      <c r="Z16" s="17">
        <f t="shared" si="3"/>
        <v>0.18297161936560935</v>
      </c>
      <c r="AA16" s="17">
        <f t="shared" si="3"/>
        <v>0.19973288814691151</v>
      </c>
      <c r="AB16" s="17">
        <f t="shared" si="3"/>
        <v>0.21689482470784641</v>
      </c>
      <c r="AC16" s="17">
        <f t="shared" si="3"/>
        <v>0.2446076794657763</v>
      </c>
      <c r="AD16" s="17">
        <f t="shared" si="3"/>
        <v>0.26547579298831386</v>
      </c>
      <c r="AE16" s="17">
        <f t="shared" si="3"/>
        <v>0.28661101836393987</v>
      </c>
      <c r="AF16" s="17">
        <f t="shared" si="3"/>
        <v>0.32173622704507515</v>
      </c>
      <c r="AG16" s="17">
        <f t="shared" si="3"/>
        <v>0.35846410684474123</v>
      </c>
      <c r="AH16" s="17">
        <f t="shared" si="3"/>
        <v>0.37619365609348915</v>
      </c>
      <c r="AI16" s="17">
        <f t="shared" si="3"/>
        <v>0.39893155258764607</v>
      </c>
      <c r="AJ16" s="17">
        <f t="shared" si="3"/>
        <v>0.41368948247078463</v>
      </c>
      <c r="AK16" s="17">
        <f t="shared" si="3"/>
        <v>0.43205342237061772</v>
      </c>
      <c r="AL16" s="17">
        <f t="shared" si="3"/>
        <v>0.45368948247078467</v>
      </c>
      <c r="AM16" s="17">
        <f t="shared" si="3"/>
        <v>0.47171953255425708</v>
      </c>
      <c r="AN16" s="17">
        <f t="shared" si="3"/>
        <v>0.48540901502504175</v>
      </c>
      <c r="AO16" s="17">
        <f t="shared" si="3"/>
        <v>0.5013021702838063</v>
      </c>
      <c r="AP16" s="17">
        <f t="shared" si="3"/>
        <v>0.50958263772954926</v>
      </c>
      <c r="AQ16" s="17">
        <f t="shared" si="3"/>
        <v>0.51719532554257097</v>
      </c>
      <c r="AR16" s="17">
        <f t="shared" si="3"/>
        <v>0.52527545909849749</v>
      </c>
      <c r="AS16" s="17">
        <f t="shared" si="3"/>
        <v>0.53262103505843073</v>
      </c>
      <c r="AT16" s="17">
        <f t="shared" si="3"/>
        <v>0.53736227045075124</v>
      </c>
      <c r="AU16" s="17">
        <f t="shared" si="3"/>
        <v>0.54196994991652758</v>
      </c>
      <c r="AV16" s="32">
        <f t="shared" si="3"/>
        <v>0.5486143572621035</v>
      </c>
      <c r="AW16" s="17">
        <f t="shared" si="3"/>
        <v>0.5525542570951586</v>
      </c>
      <c r="AX16" s="17">
        <f t="shared" si="3"/>
        <v>0.55679465776293824</v>
      </c>
      <c r="AY16" s="17">
        <f t="shared" si="3"/>
        <v>0.56033388981636056</v>
      </c>
      <c r="AZ16" s="17">
        <f t="shared" si="3"/>
        <v>0.56213689482470786</v>
      </c>
      <c r="BA16" s="17">
        <f t="shared" si="3"/>
        <v>0.56437395659432388</v>
      </c>
      <c r="BB16" s="17">
        <f t="shared" si="3"/>
        <v>0.56671118530884812</v>
      </c>
      <c r="BC16" s="17">
        <f t="shared" si="3"/>
        <v>0.56891485809682807</v>
      </c>
      <c r="BD16" s="17">
        <f t="shared" si="3"/>
        <v>0.57061769616026714</v>
      </c>
      <c r="BE16" s="17">
        <f t="shared" si="3"/>
        <v>0.57248747913188647</v>
      </c>
      <c r="BF16" s="17">
        <f t="shared" si="3"/>
        <v>0.57445742904841401</v>
      </c>
      <c r="BG16" s="17">
        <f t="shared" si="3"/>
        <v>0.57662771285475789</v>
      </c>
      <c r="BH16" s="17">
        <f t="shared" si="3"/>
        <v>0.57736227045075128</v>
      </c>
    </row>
    <row r="17" spans="2:60" x14ac:dyDescent="0.3">
      <c r="C17" s="60"/>
      <c r="D17" s="61"/>
      <c r="E17" s="55"/>
      <c r="F17" s="56"/>
      <c r="G17" s="57"/>
      <c r="H17" s="62">
        <f>IFERROR(H13/$E9,)</f>
        <v>0</v>
      </c>
      <c r="I17" s="62">
        <f t="shared" si="3"/>
        <v>0</v>
      </c>
      <c r="J17" s="62">
        <f t="shared" si="3"/>
        <v>0</v>
      </c>
      <c r="K17" s="62">
        <f t="shared" si="3"/>
        <v>0</v>
      </c>
      <c r="L17" s="62">
        <f t="shared" si="3"/>
        <v>0</v>
      </c>
      <c r="M17" s="62">
        <f t="shared" si="3"/>
        <v>0</v>
      </c>
      <c r="N17" s="62">
        <f t="shared" si="3"/>
        <v>0</v>
      </c>
      <c r="O17" s="62">
        <f t="shared" si="3"/>
        <v>0</v>
      </c>
      <c r="P17" s="62">
        <f t="shared" si="3"/>
        <v>2.9785544082605245E-4</v>
      </c>
      <c r="Q17" s="62">
        <f t="shared" si="3"/>
        <v>2.8792692613185066E-3</v>
      </c>
      <c r="R17" s="62">
        <f t="shared" si="3"/>
        <v>9.3328038125496428E-3</v>
      </c>
      <c r="S17" s="62">
        <f t="shared" si="3"/>
        <v>1.5885623510722795E-2</v>
      </c>
      <c r="T17" s="62">
        <f t="shared" si="3"/>
        <v>2.6211278792692614E-2</v>
      </c>
      <c r="U17" s="62">
        <f t="shared" si="3"/>
        <v>3.3856235107227961E-2</v>
      </c>
      <c r="V17" s="62">
        <f t="shared" si="3"/>
        <v>4.2494042891183477E-2</v>
      </c>
      <c r="W17" s="62">
        <f t="shared" si="3"/>
        <v>5.5003971405877677E-2</v>
      </c>
      <c r="X17" s="62">
        <f t="shared" si="3"/>
        <v>6.8606036536934076E-2</v>
      </c>
      <c r="Y17" s="62">
        <f t="shared" si="3"/>
        <v>7.7045274027005561E-2</v>
      </c>
      <c r="Z17" s="62">
        <f t="shared" si="3"/>
        <v>8.5683081810961084E-2</v>
      </c>
      <c r="AA17" s="62">
        <f t="shared" si="3"/>
        <v>9.1739475774424151E-2</v>
      </c>
      <c r="AB17" s="62">
        <f t="shared" si="3"/>
        <v>0.10127084988085783</v>
      </c>
      <c r="AC17" s="62">
        <f t="shared" si="3"/>
        <v>0.11000794281175535</v>
      </c>
      <c r="AD17" s="62">
        <f t="shared" si="3"/>
        <v>0.12390786338363781</v>
      </c>
      <c r="AE17" s="62">
        <f t="shared" si="3"/>
        <v>0.13433280381254964</v>
      </c>
      <c r="AF17" s="62">
        <f t="shared" si="3"/>
        <v>0.15309769658459094</v>
      </c>
      <c r="AG17" s="62">
        <f t="shared" si="3"/>
        <v>0.17096902303415409</v>
      </c>
      <c r="AH17" s="62">
        <f t="shared" si="3"/>
        <v>0.1811953931691819</v>
      </c>
      <c r="AI17" s="62">
        <f t="shared" si="3"/>
        <v>0.19062748212867356</v>
      </c>
      <c r="AJ17" s="62">
        <f t="shared" si="3"/>
        <v>0.19807386814932487</v>
      </c>
      <c r="AK17" s="62">
        <f t="shared" si="3"/>
        <v>0.20581810961080221</v>
      </c>
      <c r="AL17" s="62">
        <f t="shared" si="3"/>
        <v>0.21544876886417791</v>
      </c>
      <c r="AM17" s="62">
        <f t="shared" si="3"/>
        <v>0.22577442414614773</v>
      </c>
      <c r="AN17" s="62">
        <f t="shared" si="3"/>
        <v>0.23292295472597299</v>
      </c>
      <c r="AO17" s="62">
        <f t="shared" si="3"/>
        <v>0.24195790309769658</v>
      </c>
      <c r="AP17" s="62">
        <f t="shared" si="3"/>
        <v>0.24811358220810167</v>
      </c>
      <c r="AQ17" s="62">
        <f t="shared" si="3"/>
        <v>0.25516282764098491</v>
      </c>
      <c r="AR17" s="62">
        <f t="shared" si="3"/>
        <v>0.26062351072279588</v>
      </c>
      <c r="AS17" s="62">
        <f t="shared" si="3"/>
        <v>0.26628276409849089</v>
      </c>
      <c r="AT17" s="62">
        <f t="shared" si="3"/>
        <v>0.27154487688641782</v>
      </c>
      <c r="AU17" s="62">
        <f t="shared" si="3"/>
        <v>0.27531771247021447</v>
      </c>
      <c r="AV17" s="63">
        <f t="shared" si="3"/>
        <v>0.28018268467037333</v>
      </c>
      <c r="AW17" s="62">
        <f t="shared" si="3"/>
        <v>0.284054805401112</v>
      </c>
      <c r="AX17" s="62">
        <f t="shared" si="3"/>
        <v>0.28822478157267672</v>
      </c>
      <c r="AY17" s="62">
        <f t="shared" si="3"/>
        <v>0.29100476568705319</v>
      </c>
      <c r="AZ17" s="62">
        <f t="shared" si="3"/>
        <v>0.29338760921366164</v>
      </c>
      <c r="BA17" s="62">
        <f t="shared" si="3"/>
        <v>0.29497617156473394</v>
      </c>
      <c r="BB17" s="62">
        <f t="shared" si="3"/>
        <v>0.29626687847498012</v>
      </c>
      <c r="BC17" s="62">
        <f t="shared" si="3"/>
        <v>0.29884829229547261</v>
      </c>
      <c r="BD17" s="62">
        <f t="shared" si="3"/>
        <v>0.3007347100873709</v>
      </c>
      <c r="BE17" s="62">
        <f t="shared" si="3"/>
        <v>0.30172756155679109</v>
      </c>
      <c r="BF17" s="62">
        <f t="shared" si="3"/>
        <v>0.30351469420174743</v>
      </c>
      <c r="BG17" s="62">
        <f t="shared" si="3"/>
        <v>0.30510325655281972</v>
      </c>
      <c r="BH17" s="62">
        <f t="shared" si="3"/>
        <v>0.30589753772835582</v>
      </c>
    </row>
    <row r="18" spans="2:60" x14ac:dyDescent="0.3">
      <c r="D18" s="64" t="s">
        <v>65</v>
      </c>
      <c r="E18" s="65">
        <f>SUMIFS([1]품종집!$BW:$BW,[1]품종집!$L:$L,품번검토!B8)</f>
        <v>1188</v>
      </c>
    </row>
    <row r="19" spans="2:60" x14ac:dyDescent="0.3">
      <c r="D19" s="67"/>
      <c r="E19" s="65">
        <f>SUMIFS([1]품종집!$BW:$BW,[1]품종집!$L:$L,품번검토!B9)</f>
        <v>4670</v>
      </c>
    </row>
    <row r="21" spans="2:60" x14ac:dyDescent="0.3">
      <c r="F21" t="s">
        <v>5</v>
      </c>
      <c r="G21" s="68">
        <v>0.5</v>
      </c>
      <c r="AA21" s="102" t="s">
        <v>66</v>
      </c>
      <c r="AU21" s="105" t="s">
        <v>75</v>
      </c>
    </row>
    <row r="22" spans="2:60" x14ac:dyDescent="0.3">
      <c r="C22" s="69" t="s">
        <v>67</v>
      </c>
      <c r="F22" s="70"/>
      <c r="G22" s="71" cm="1">
        <f t="array" ref="G22">IFERROR(
IF(INDEX($H$22:$BH$22,MATCH(TRUE,$H28:$BH28&gt;=($E$24*$G$21),0))&gt;=$AP$22,"X",INDEX($H$22:$BH$22,,MATCH(TRUE,$H28:$BH28&gt;=($E$24*$G$21),0))),"X")</f>
        <v>46180</v>
      </c>
      <c r="H22" s="72">
        <v>46026</v>
      </c>
      <c r="I22" s="72">
        <v>46033</v>
      </c>
      <c r="J22" s="72">
        <v>46040</v>
      </c>
      <c r="K22" s="72">
        <v>46047</v>
      </c>
      <c r="L22" s="72">
        <v>46054</v>
      </c>
      <c r="M22" s="72">
        <v>46061</v>
      </c>
      <c r="N22" s="72">
        <v>46068</v>
      </c>
      <c r="O22" s="72">
        <v>46075</v>
      </c>
      <c r="P22" s="72">
        <v>46082</v>
      </c>
      <c r="Q22" s="72">
        <v>46089</v>
      </c>
      <c r="R22" s="72">
        <v>46096</v>
      </c>
      <c r="S22" s="72">
        <v>46103</v>
      </c>
      <c r="T22" s="72">
        <v>46110</v>
      </c>
      <c r="U22" s="72">
        <v>46117</v>
      </c>
      <c r="V22" s="72">
        <v>46124</v>
      </c>
      <c r="W22" s="72">
        <v>46131</v>
      </c>
      <c r="X22" s="72">
        <v>46138</v>
      </c>
      <c r="Y22" s="72">
        <v>46145</v>
      </c>
      <c r="Z22" s="72">
        <v>46152</v>
      </c>
      <c r="AA22" s="72">
        <v>46159</v>
      </c>
      <c r="AB22" s="72">
        <v>46166</v>
      </c>
      <c r="AC22" s="72">
        <v>46173</v>
      </c>
      <c r="AD22" s="72">
        <v>46180</v>
      </c>
      <c r="AE22" s="72">
        <v>46187</v>
      </c>
      <c r="AF22" s="72">
        <v>46194</v>
      </c>
      <c r="AG22" s="72">
        <v>46201</v>
      </c>
      <c r="AH22" s="72">
        <v>46208</v>
      </c>
      <c r="AI22" s="72">
        <v>46215</v>
      </c>
      <c r="AJ22" s="73">
        <v>46222</v>
      </c>
      <c r="AK22" s="72">
        <v>46229</v>
      </c>
      <c r="AL22" s="74">
        <v>46236</v>
      </c>
      <c r="AM22" s="72">
        <v>46243</v>
      </c>
      <c r="AN22" s="72">
        <v>46250</v>
      </c>
      <c r="AO22" s="72">
        <v>46257</v>
      </c>
      <c r="AP22" s="72">
        <v>46264</v>
      </c>
      <c r="AQ22" s="72">
        <v>46271</v>
      </c>
      <c r="AR22" s="72">
        <v>46278</v>
      </c>
      <c r="AS22" s="72">
        <v>46285</v>
      </c>
      <c r="AT22" s="72">
        <v>46292</v>
      </c>
      <c r="AU22" s="72">
        <v>46299</v>
      </c>
      <c r="AV22" s="75">
        <f t="shared" ref="AV22:BG22" si="4">AU22+7</f>
        <v>46306</v>
      </c>
      <c r="AW22" s="76">
        <f t="shared" si="4"/>
        <v>46313</v>
      </c>
      <c r="AX22" s="76">
        <f t="shared" si="4"/>
        <v>46320</v>
      </c>
      <c r="AY22" s="76">
        <f t="shared" si="4"/>
        <v>46327</v>
      </c>
      <c r="AZ22" s="76">
        <f t="shared" si="4"/>
        <v>46334</v>
      </c>
      <c r="BA22" s="76">
        <f t="shared" si="4"/>
        <v>46341</v>
      </c>
      <c r="BB22" s="76">
        <f t="shared" si="4"/>
        <v>46348</v>
      </c>
      <c r="BC22" s="76">
        <f t="shared" si="4"/>
        <v>46355</v>
      </c>
      <c r="BD22" s="76">
        <f t="shared" si="4"/>
        <v>46362</v>
      </c>
      <c r="BE22" s="76">
        <f t="shared" si="4"/>
        <v>46369</v>
      </c>
      <c r="BF22" s="76">
        <f t="shared" si="4"/>
        <v>46376</v>
      </c>
      <c r="BG22" s="76">
        <f t="shared" si="4"/>
        <v>46383</v>
      </c>
      <c r="BH22" s="76">
        <v>46387</v>
      </c>
    </row>
    <row r="23" spans="2:60" x14ac:dyDescent="0.3">
      <c r="C23" s="12" t="s">
        <v>1</v>
      </c>
      <c r="D23" s="12" t="s">
        <v>2</v>
      </c>
      <c r="E23" s="77" t="s">
        <v>3</v>
      </c>
      <c r="F23" s="77" t="s">
        <v>0</v>
      </c>
      <c r="G23" s="77" t="s">
        <v>5</v>
      </c>
      <c r="H23" s="12" t="s">
        <v>6</v>
      </c>
      <c r="I23" s="12" t="s">
        <v>7</v>
      </c>
      <c r="J23" s="12" t="s">
        <v>8</v>
      </c>
      <c r="K23" s="12" t="s">
        <v>9</v>
      </c>
      <c r="L23" s="12" t="s">
        <v>10</v>
      </c>
      <c r="M23" s="12" t="s">
        <v>11</v>
      </c>
      <c r="N23" s="12" t="s">
        <v>12</v>
      </c>
      <c r="O23" s="12" t="s">
        <v>13</v>
      </c>
      <c r="P23" s="12" t="s">
        <v>14</v>
      </c>
      <c r="Q23" s="12" t="s">
        <v>15</v>
      </c>
      <c r="R23" s="12" t="s">
        <v>16</v>
      </c>
      <c r="S23" s="12" t="s">
        <v>17</v>
      </c>
      <c r="T23" s="12" t="s">
        <v>18</v>
      </c>
      <c r="U23" s="12" t="s">
        <v>19</v>
      </c>
      <c r="V23" s="12" t="s">
        <v>20</v>
      </c>
      <c r="W23" s="12" t="s">
        <v>21</v>
      </c>
      <c r="X23" s="12" t="s">
        <v>22</v>
      </c>
      <c r="Y23" s="12" t="s">
        <v>23</v>
      </c>
      <c r="Z23" s="12" t="s">
        <v>24</v>
      </c>
      <c r="AA23" s="12" t="s">
        <v>25</v>
      </c>
      <c r="AB23" s="12" t="s">
        <v>26</v>
      </c>
      <c r="AC23" s="12" t="s">
        <v>27</v>
      </c>
      <c r="AD23" s="12" t="s">
        <v>28</v>
      </c>
      <c r="AE23" s="12" t="s">
        <v>29</v>
      </c>
      <c r="AF23" s="12" t="s">
        <v>30</v>
      </c>
      <c r="AG23" s="12" t="s">
        <v>31</v>
      </c>
      <c r="AH23" s="12" t="s">
        <v>32</v>
      </c>
      <c r="AI23" s="12" t="s">
        <v>33</v>
      </c>
      <c r="AJ23" s="78" t="s">
        <v>34</v>
      </c>
      <c r="AK23" s="12" t="s">
        <v>35</v>
      </c>
      <c r="AL23" s="13" t="s">
        <v>36</v>
      </c>
      <c r="AM23" s="12" t="s">
        <v>37</v>
      </c>
      <c r="AN23" s="12" t="s">
        <v>38</v>
      </c>
      <c r="AO23" s="12" t="s">
        <v>39</v>
      </c>
      <c r="AP23" s="12" t="s">
        <v>40</v>
      </c>
      <c r="AQ23" s="12" t="s">
        <v>41</v>
      </c>
      <c r="AR23" s="12" t="s">
        <v>42</v>
      </c>
      <c r="AS23" s="12" t="s">
        <v>43</v>
      </c>
      <c r="AT23" s="12" t="s">
        <v>44</v>
      </c>
      <c r="AU23" s="12" t="s">
        <v>45</v>
      </c>
      <c r="AV23" s="13" t="s">
        <v>46</v>
      </c>
      <c r="AW23" s="12" t="s">
        <v>47</v>
      </c>
      <c r="AX23" s="12" t="s">
        <v>48</v>
      </c>
      <c r="AY23" s="12" t="s">
        <v>49</v>
      </c>
      <c r="AZ23" s="12" t="s">
        <v>50</v>
      </c>
      <c r="BA23" s="12" t="s">
        <v>51</v>
      </c>
      <c r="BB23" s="12" t="s">
        <v>52</v>
      </c>
      <c r="BC23" s="12" t="s">
        <v>53</v>
      </c>
      <c r="BD23" s="12" t="s">
        <v>54</v>
      </c>
      <c r="BE23" s="12" t="s">
        <v>55</v>
      </c>
      <c r="BF23" s="12" t="s">
        <v>56</v>
      </c>
      <c r="BG23" s="12" t="s">
        <v>57</v>
      </c>
      <c r="BH23" s="12" t="s">
        <v>58</v>
      </c>
    </row>
    <row r="24" spans="2:60" x14ac:dyDescent="0.3">
      <c r="B24" t="str">
        <f>+C24&amp;D24</f>
        <v>WA2602STE1TC</v>
      </c>
      <c r="C24" s="12" t="s">
        <v>68</v>
      </c>
      <c r="D24" s="12" t="s">
        <v>60</v>
      </c>
      <c r="E24" s="79">
        <v>3000</v>
      </c>
      <c r="F24" s="15">
        <f>SUM(H24:BH24)</f>
        <v>3000</v>
      </c>
      <c r="G24" s="17">
        <f>+F24/E24</f>
        <v>1</v>
      </c>
      <c r="H24" s="77"/>
      <c r="I24" s="77"/>
      <c r="J24" s="77"/>
      <c r="K24" s="77"/>
      <c r="L24" s="77"/>
      <c r="M24" s="77"/>
      <c r="N24" s="77"/>
      <c r="O24" s="77"/>
      <c r="P24" s="80"/>
      <c r="Q24" s="80"/>
      <c r="R24" s="77"/>
      <c r="S24" s="77"/>
      <c r="T24" s="77"/>
      <c r="U24" s="77"/>
      <c r="V24" s="77"/>
      <c r="W24" s="77"/>
      <c r="X24" s="77"/>
      <c r="Y24" s="77"/>
      <c r="Z24" s="77"/>
      <c r="AA24" s="18">
        <v>400</v>
      </c>
      <c r="AB24" s="81">
        <f xml:space="preserve"> MIN(ROUND(AA24 * (1 + AB10), 0), MAX($E$24 - SUM($AA$24:AA24), 0))</f>
        <v>410</v>
      </c>
      <c r="AC24" s="53">
        <f xml:space="preserve"> MIN(ROUND(AB24 * (1 + AC10), 0), MAX($E$24 - SUM($AA$24:AB24), 0))</f>
        <v>662</v>
      </c>
      <c r="AD24" s="53">
        <f xml:space="preserve"> MIN(ROUND(AC24 * (1 + AD10), 0), MAX($E$24 - SUM($AA$24:AC24), 0))</f>
        <v>498</v>
      </c>
      <c r="AE24" s="53">
        <f xml:space="preserve"> MIN(ROUND(AD24 * (1 + AE10), 0), MAX($E$24 - SUM($AA$24:AD24), 0))</f>
        <v>504</v>
      </c>
      <c r="AF24" s="53">
        <f xml:space="preserve"> MIN(ROUND(AE24 * (1 + AF10), 0), MAX($E$24 - SUM($AA$24:AE24), 0))</f>
        <v>526</v>
      </c>
      <c r="AG24" s="53">
        <f xml:space="preserve"> MIN(ROUND(AF24 * (1 + AG10), 0), MAX($E$24 - SUM($AA$24:AF24), 0))</f>
        <v>0</v>
      </c>
      <c r="AH24" s="53">
        <f xml:space="preserve"> MIN(ROUND(AG24 * (1 + AH10), 0), MAX($E$24 - SUM($AA$24:AG24), 0))</f>
        <v>0</v>
      </c>
      <c r="AI24" s="53">
        <f xml:space="preserve"> MIN(ROUND(AH24 * (1 + AI10), 0), MAX($E$24 - SUM($AA$24:AH24), 0))</f>
        <v>0</v>
      </c>
      <c r="AJ24" s="82">
        <f xml:space="preserve"> MIN(ROUND(AI24 * (1 + AJ10), 0), MAX($E$24 - SUM($AA$24:AI24), 0))</f>
        <v>0</v>
      </c>
      <c r="AK24" s="53">
        <f xml:space="preserve"> MIN(ROUND(AJ24 * (1 + AK10), 0), MAX($E$24 - SUM($AA$24:AJ24), 0))</f>
        <v>0</v>
      </c>
      <c r="AL24" s="54">
        <f xml:space="preserve"> MIN(ROUND(AK24 * (1 + AL10), 0), MAX($E$24 - SUM($AA$24:AK24), 0))</f>
        <v>0</v>
      </c>
      <c r="AM24" s="53">
        <f xml:space="preserve"> MIN(ROUND(AL24 * (1 + AM10), 0), MAX($E$24 - SUM($AA$24:AL24), 0))</f>
        <v>0</v>
      </c>
      <c r="AN24" s="53">
        <f xml:space="preserve"> MIN(ROUND(AM24 * (1 + AN10), 0), MAX($E$24 - SUM($AA$24:AM24), 0))</f>
        <v>0</v>
      </c>
      <c r="AO24" s="53">
        <f xml:space="preserve"> MIN(ROUND(AN24 * (1 + AO10), 0), MAX($E$24 - SUM($AA$24:AN24), 0))</f>
        <v>0</v>
      </c>
      <c r="AP24" s="53">
        <f xml:space="preserve"> MIN(ROUND(AO24 * (1 + AP10), 0), MAX($E$24 - SUM($AA$24:AO24), 0))</f>
        <v>0</v>
      </c>
      <c r="AQ24" s="53">
        <f xml:space="preserve"> MIN(ROUND(AP24 * (1 + AQ10), 0), MAX($E$24 - SUM($AA$24:AP24), 0))</f>
        <v>0</v>
      </c>
      <c r="AR24" s="53">
        <f xml:space="preserve"> MIN(ROUND(AQ24 * (1 + AR10), 0), MAX($E$24 - SUM($AA$24:AQ24), 0))</f>
        <v>0</v>
      </c>
      <c r="AS24" s="53">
        <f xml:space="preserve"> MIN(ROUND(AR24 * (1 + AS10), 0), MAX($E$24 - SUM($AA$24:AR24), 0))</f>
        <v>0</v>
      </c>
      <c r="AT24" s="53">
        <f xml:space="preserve"> MIN(ROUND(AS24 * (1 + AT10), 0), MAX($E$24 - SUM($AA$24:AS24), 0))</f>
        <v>0</v>
      </c>
      <c r="AU24" s="53">
        <f xml:space="preserve"> MIN(ROUND(AT24 * (1 + AU10), 0), MAX($E$24 - SUM($AA$24:AT24), 0))</f>
        <v>0</v>
      </c>
      <c r="AV24" s="54">
        <f xml:space="preserve"> MIN(ROUND(AU24 * (1 + AV10), 0), MAX($E$24 - SUM($AA$24:AU24), 0))</f>
        <v>0</v>
      </c>
      <c r="AW24" s="53">
        <f xml:space="preserve"> MIN(ROUND(AV24 * (1 + AW10), 0), MAX($E$24 - SUM($AA$24:AV24), 0))</f>
        <v>0</v>
      </c>
      <c r="AX24" s="53">
        <f xml:space="preserve"> MIN(ROUND(AW24 * (1 + AX10), 0), MAX($E$24 - SUM($AA$24:AW24), 0))</f>
        <v>0</v>
      </c>
      <c r="AY24" s="53">
        <f xml:space="preserve"> MIN(ROUND(AX24 * (1 + AY10), 0), MAX($E$24 - SUM($AA$24:AX24), 0))</f>
        <v>0</v>
      </c>
      <c r="AZ24" s="53">
        <f xml:space="preserve"> MIN(ROUND(AY24 * (1 + AZ10), 0), MAX($E$24 - SUM($AA$24:AY24), 0))</f>
        <v>0</v>
      </c>
      <c r="BA24" s="53">
        <f xml:space="preserve"> MIN(ROUND(AZ24 * (1 + BA10), 0), MAX($E$24 - SUM($AA$24:AZ24), 0))</f>
        <v>0</v>
      </c>
      <c r="BB24" s="53">
        <f xml:space="preserve"> MIN(ROUND(BA24 * (1 + BB10), 0), MAX($E$24 - SUM($AA$24:BA24), 0))</f>
        <v>0</v>
      </c>
      <c r="BC24" s="53">
        <f xml:space="preserve"> MIN(ROUND(BB24 * (1 + BC10), 0), MAX($E$24 - SUM($AA$24:BB24), 0))</f>
        <v>0</v>
      </c>
      <c r="BD24" s="53">
        <f xml:space="preserve"> MIN(ROUND(BC24 * (1 + BD10), 0), MAX($E$24 - SUM($AA$24:BC24), 0))</f>
        <v>0</v>
      </c>
      <c r="BE24" s="53">
        <f xml:space="preserve"> MIN(ROUND(BD24 * (1 + BE10), 0), MAX($E$24 - SUM($AA$24:BD24), 0))</f>
        <v>0</v>
      </c>
      <c r="BF24" s="53">
        <f xml:space="preserve"> MIN(ROUND(BE24 * (1 + BF10), 0), MAX($E$24 - SUM($AA$24:BE24), 0))</f>
        <v>0</v>
      </c>
      <c r="BG24" s="53">
        <f xml:space="preserve"> MIN(ROUND(BF24 * (1 + BG10), 0), MAX($E$24 - SUM($AA$24:BF24), 0))</f>
        <v>0</v>
      </c>
      <c r="BH24" s="53">
        <f xml:space="preserve"> MIN(ROUND(BG24 * (1 + BH10), 0), MAX($E$24 - SUM($AA$24:BG24), 0))</f>
        <v>0</v>
      </c>
    </row>
    <row r="25" spans="2:60" x14ac:dyDescent="0.3">
      <c r="B25" t="str">
        <f>+C25&amp;D25</f>
        <v>WA2602STE1WH</v>
      </c>
      <c r="C25" s="12" t="s">
        <v>68</v>
      </c>
      <c r="D25" s="12" t="s">
        <v>69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83"/>
      <c r="AK25" s="77"/>
      <c r="AL25" s="7"/>
      <c r="AM25" s="77"/>
      <c r="AN25" s="77"/>
      <c r="AO25" s="77"/>
      <c r="AP25" s="77"/>
      <c r="AQ25" s="77"/>
      <c r="AR25" s="77"/>
      <c r="AS25" s="77"/>
      <c r="AT25" s="77"/>
      <c r="AU25" s="77"/>
      <c r="AV25" s="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</row>
    <row r="26" spans="2:60" s="26" customFormat="1" x14ac:dyDescent="0.3">
      <c r="C26" s="27" t="s">
        <v>74</v>
      </c>
      <c r="D26" s="28"/>
      <c r="E26" s="29" t="s">
        <v>62</v>
      </c>
      <c r="F26" s="30"/>
      <c r="G26" s="31"/>
      <c r="H26" s="17"/>
      <c r="I26" s="17">
        <f>IFERROR(I24/H24-1,)</f>
        <v>0</v>
      </c>
      <c r="J26" s="17">
        <f t="shared" ref="J26:BH27" si="5">IFERROR(J24/I24-1,)</f>
        <v>0</v>
      </c>
      <c r="K26" s="17">
        <f t="shared" si="5"/>
        <v>0</v>
      </c>
      <c r="L26" s="17">
        <f t="shared" si="5"/>
        <v>0</v>
      </c>
      <c r="M26" s="17">
        <f t="shared" si="5"/>
        <v>0</v>
      </c>
      <c r="N26" s="17">
        <f t="shared" si="5"/>
        <v>0</v>
      </c>
      <c r="O26" s="17">
        <f t="shared" si="5"/>
        <v>0</v>
      </c>
      <c r="P26" s="17">
        <f t="shared" si="5"/>
        <v>0</v>
      </c>
      <c r="Q26" s="17">
        <f t="shared" si="5"/>
        <v>0</v>
      </c>
      <c r="R26" s="17">
        <f t="shared" si="5"/>
        <v>0</v>
      </c>
      <c r="S26" s="17">
        <f t="shared" si="5"/>
        <v>0</v>
      </c>
      <c r="T26" s="17">
        <f t="shared" si="5"/>
        <v>0</v>
      </c>
      <c r="U26" s="17">
        <f t="shared" si="5"/>
        <v>0</v>
      </c>
      <c r="V26" s="17">
        <f t="shared" si="5"/>
        <v>0</v>
      </c>
      <c r="W26" s="17">
        <f t="shared" si="5"/>
        <v>0</v>
      </c>
      <c r="X26" s="17">
        <f t="shared" si="5"/>
        <v>0</v>
      </c>
      <c r="Y26" s="17">
        <f t="shared" si="5"/>
        <v>0</v>
      </c>
      <c r="Z26" s="17">
        <f t="shared" si="5"/>
        <v>0</v>
      </c>
      <c r="AA26" s="17">
        <f t="shared" si="5"/>
        <v>0</v>
      </c>
      <c r="AB26" s="17">
        <f t="shared" si="5"/>
        <v>2.4999999999999911E-2</v>
      </c>
      <c r="AC26" s="17">
        <f t="shared" si="5"/>
        <v>0.61463414634146352</v>
      </c>
      <c r="AD26" s="17">
        <f t="shared" si="5"/>
        <v>-0.24773413897280971</v>
      </c>
      <c r="AE26" s="17">
        <f t="shared" si="5"/>
        <v>1.2048192771084265E-2</v>
      </c>
      <c r="AF26" s="17">
        <f t="shared" si="5"/>
        <v>4.3650793650793718E-2</v>
      </c>
      <c r="AG26" s="17">
        <f t="shared" si="5"/>
        <v>-1</v>
      </c>
      <c r="AH26" s="17">
        <f t="shared" si="5"/>
        <v>0</v>
      </c>
      <c r="AI26" s="17">
        <f t="shared" si="5"/>
        <v>0</v>
      </c>
      <c r="AJ26" s="84">
        <f t="shared" si="5"/>
        <v>0</v>
      </c>
      <c r="AK26" s="17">
        <f t="shared" si="5"/>
        <v>0</v>
      </c>
      <c r="AL26" s="32">
        <f t="shared" si="5"/>
        <v>0</v>
      </c>
      <c r="AM26" s="17">
        <f t="shared" si="5"/>
        <v>0</v>
      </c>
      <c r="AN26" s="17">
        <f t="shared" si="5"/>
        <v>0</v>
      </c>
      <c r="AO26" s="17">
        <f t="shared" si="5"/>
        <v>0</v>
      </c>
      <c r="AP26" s="17">
        <f t="shared" si="5"/>
        <v>0</v>
      </c>
      <c r="AQ26" s="17">
        <f t="shared" si="5"/>
        <v>0</v>
      </c>
      <c r="AR26" s="17">
        <f t="shared" si="5"/>
        <v>0</v>
      </c>
      <c r="AS26" s="17">
        <f t="shared" si="5"/>
        <v>0</v>
      </c>
      <c r="AT26" s="17">
        <f t="shared" si="5"/>
        <v>0</v>
      </c>
      <c r="AU26" s="17">
        <f t="shared" si="5"/>
        <v>0</v>
      </c>
      <c r="AV26" s="32">
        <f t="shared" si="5"/>
        <v>0</v>
      </c>
      <c r="AW26" s="17">
        <f t="shared" si="5"/>
        <v>0</v>
      </c>
      <c r="AX26" s="17">
        <f t="shared" si="5"/>
        <v>0</v>
      </c>
      <c r="AY26" s="17">
        <f t="shared" si="5"/>
        <v>0</v>
      </c>
      <c r="AZ26" s="17">
        <f t="shared" si="5"/>
        <v>0</v>
      </c>
      <c r="BA26" s="17">
        <f t="shared" si="5"/>
        <v>0</v>
      </c>
      <c r="BB26" s="17">
        <f t="shared" si="5"/>
        <v>0</v>
      </c>
      <c r="BC26" s="17">
        <f t="shared" si="5"/>
        <v>0</v>
      </c>
      <c r="BD26" s="17">
        <f t="shared" si="5"/>
        <v>0</v>
      </c>
      <c r="BE26" s="17">
        <f t="shared" si="5"/>
        <v>0</v>
      </c>
      <c r="BF26" s="17">
        <f t="shared" si="5"/>
        <v>0</v>
      </c>
      <c r="BG26" s="17">
        <f t="shared" si="5"/>
        <v>0</v>
      </c>
      <c r="BH26" s="17">
        <f t="shared" si="5"/>
        <v>0</v>
      </c>
    </row>
    <row r="27" spans="2:60" x14ac:dyDescent="0.3">
      <c r="C27" s="40"/>
      <c r="D27" s="34">
        <v>49000</v>
      </c>
      <c r="E27" s="35"/>
      <c r="F27" s="36"/>
      <c r="G27" s="37"/>
      <c r="H27" s="24"/>
      <c r="I27" s="23">
        <f>IFERROR(I25/H25-1,)</f>
        <v>0</v>
      </c>
      <c r="J27" s="23">
        <f t="shared" si="5"/>
        <v>0</v>
      </c>
      <c r="K27" s="23">
        <f t="shared" si="5"/>
        <v>0</v>
      </c>
      <c r="L27" s="23">
        <f t="shared" si="5"/>
        <v>0</v>
      </c>
      <c r="M27" s="23">
        <f t="shared" si="5"/>
        <v>0</v>
      </c>
      <c r="N27" s="23">
        <f t="shared" si="5"/>
        <v>0</v>
      </c>
      <c r="O27" s="23">
        <f t="shared" si="5"/>
        <v>0</v>
      </c>
      <c r="P27" s="23">
        <f>IFERROR(P25/O25-1,)</f>
        <v>0</v>
      </c>
      <c r="Q27" s="23">
        <f>IFERROR(Q25/P25-1,)</f>
        <v>0</v>
      </c>
      <c r="R27" s="23">
        <f t="shared" si="5"/>
        <v>0</v>
      </c>
      <c r="S27" s="23">
        <f t="shared" si="5"/>
        <v>0</v>
      </c>
      <c r="T27" s="23">
        <f t="shared" si="5"/>
        <v>0</v>
      </c>
      <c r="U27" s="23">
        <f t="shared" si="5"/>
        <v>0</v>
      </c>
      <c r="V27" s="23">
        <f t="shared" si="5"/>
        <v>0</v>
      </c>
      <c r="W27" s="23">
        <f t="shared" si="5"/>
        <v>0</v>
      </c>
      <c r="X27" s="23">
        <f t="shared" si="5"/>
        <v>0</v>
      </c>
      <c r="Y27" s="23">
        <f>IFERROR(Y25/X25-1,)</f>
        <v>0</v>
      </c>
      <c r="Z27" s="23">
        <f>IFERROR(Z25/Y25-1,)</f>
        <v>0</v>
      </c>
      <c r="AA27" s="23">
        <f t="shared" si="5"/>
        <v>0</v>
      </c>
      <c r="AB27" s="23">
        <f t="shared" si="5"/>
        <v>0</v>
      </c>
      <c r="AC27" s="23">
        <f t="shared" si="5"/>
        <v>0</v>
      </c>
      <c r="AD27" s="23">
        <f t="shared" si="5"/>
        <v>0</v>
      </c>
      <c r="AE27" s="23">
        <f t="shared" si="5"/>
        <v>0</v>
      </c>
      <c r="AF27" s="23">
        <f t="shared" si="5"/>
        <v>0</v>
      </c>
      <c r="AG27" s="23">
        <f t="shared" si="5"/>
        <v>0</v>
      </c>
      <c r="AH27" s="23">
        <f t="shared" si="5"/>
        <v>0</v>
      </c>
      <c r="AI27" s="23">
        <f t="shared" si="5"/>
        <v>0</v>
      </c>
      <c r="AJ27" s="85">
        <f t="shared" si="5"/>
        <v>0</v>
      </c>
      <c r="AK27" s="23">
        <f t="shared" si="5"/>
        <v>0</v>
      </c>
      <c r="AL27" s="38">
        <f t="shared" si="5"/>
        <v>0</v>
      </c>
      <c r="AM27" s="23">
        <f t="shared" si="5"/>
        <v>0</v>
      </c>
      <c r="AN27" s="23">
        <f t="shared" si="5"/>
        <v>0</v>
      </c>
      <c r="AO27" s="23">
        <f t="shared" si="5"/>
        <v>0</v>
      </c>
      <c r="AP27" s="23">
        <f t="shared" si="5"/>
        <v>0</v>
      </c>
      <c r="AQ27" s="23">
        <f t="shared" si="5"/>
        <v>0</v>
      </c>
      <c r="AR27" s="23">
        <f t="shared" si="5"/>
        <v>0</v>
      </c>
      <c r="AS27" s="23">
        <f t="shared" si="5"/>
        <v>0</v>
      </c>
      <c r="AT27" s="23">
        <f t="shared" si="5"/>
        <v>0</v>
      </c>
      <c r="AU27" s="23">
        <f t="shared" si="5"/>
        <v>0</v>
      </c>
      <c r="AV27" s="38">
        <f t="shared" si="5"/>
        <v>0</v>
      </c>
      <c r="AW27" s="23">
        <f t="shared" si="5"/>
        <v>0</v>
      </c>
      <c r="AX27" s="23">
        <f t="shared" si="5"/>
        <v>0</v>
      </c>
      <c r="AY27" s="23">
        <f t="shared" si="5"/>
        <v>0</v>
      </c>
      <c r="AZ27" s="23">
        <f t="shared" si="5"/>
        <v>0</v>
      </c>
      <c r="BA27" s="23">
        <f t="shared" si="5"/>
        <v>0</v>
      </c>
      <c r="BB27" s="23">
        <f t="shared" si="5"/>
        <v>0</v>
      </c>
      <c r="BC27" s="23">
        <f t="shared" si="5"/>
        <v>0</v>
      </c>
      <c r="BD27" s="23">
        <f t="shared" si="5"/>
        <v>0</v>
      </c>
      <c r="BE27" s="23">
        <f t="shared" si="5"/>
        <v>0</v>
      </c>
      <c r="BF27" s="23">
        <f t="shared" si="5"/>
        <v>0</v>
      </c>
      <c r="BG27" s="23">
        <f t="shared" si="5"/>
        <v>0</v>
      </c>
      <c r="BH27" s="23">
        <f t="shared" si="5"/>
        <v>0</v>
      </c>
    </row>
    <row r="28" spans="2:60" s="39" customFormat="1" x14ac:dyDescent="0.3">
      <c r="C28" s="40"/>
      <c r="D28" s="41"/>
      <c r="E28" s="42" t="s">
        <v>63</v>
      </c>
      <c r="F28" s="43"/>
      <c r="G28" s="44"/>
      <c r="H28" s="15">
        <f>+SUM($H$24:H24)</f>
        <v>0</v>
      </c>
      <c r="I28" s="15">
        <f>+SUM($H$24:I24)</f>
        <v>0</v>
      </c>
      <c r="J28" s="15">
        <f>+SUM($H$24:J24)</f>
        <v>0</v>
      </c>
      <c r="K28" s="15">
        <f>+SUM($H$24:K24)</f>
        <v>0</v>
      </c>
      <c r="L28" s="15">
        <f>+SUM($H$24:L24)</f>
        <v>0</v>
      </c>
      <c r="M28" s="15">
        <f>+SUM($H$24:M24)</f>
        <v>0</v>
      </c>
      <c r="N28" s="15">
        <f>+SUM($H$24:N24)</f>
        <v>0</v>
      </c>
      <c r="O28" s="15">
        <f>+SUM($H$24:O24)</f>
        <v>0</v>
      </c>
      <c r="P28" s="15">
        <f>+SUM($H$24:P24)</f>
        <v>0</v>
      </c>
      <c r="Q28" s="15">
        <f>+SUM($H$24:Q24)</f>
        <v>0</v>
      </c>
      <c r="R28" s="15">
        <f>+SUM($H$24:R24)</f>
        <v>0</v>
      </c>
      <c r="S28" s="15">
        <f>+SUM($H$24:S24)</f>
        <v>0</v>
      </c>
      <c r="T28" s="15">
        <f>+SUM($H$24:T24)</f>
        <v>0</v>
      </c>
      <c r="U28" s="15">
        <f>+SUM($H$24:U24)</f>
        <v>0</v>
      </c>
      <c r="V28" s="15">
        <f>+SUM($H$24:V24)</f>
        <v>0</v>
      </c>
      <c r="W28" s="15">
        <f>+SUM($H$24:W24)</f>
        <v>0</v>
      </c>
      <c r="X28" s="15">
        <f>+SUM($H$24:X24)</f>
        <v>0</v>
      </c>
      <c r="Y28" s="15">
        <f>+SUM($H$24:Y24)</f>
        <v>0</v>
      </c>
      <c r="Z28" s="15">
        <f>+SUM($H$24:Z24)</f>
        <v>0</v>
      </c>
      <c r="AA28" s="15">
        <f>+SUM($H$24:AA24)</f>
        <v>400</v>
      </c>
      <c r="AB28" s="15">
        <f>+SUM($H$24:AB24)</f>
        <v>810</v>
      </c>
      <c r="AC28" s="15">
        <f>+SUM($H$24:AC24)</f>
        <v>1472</v>
      </c>
      <c r="AD28" s="15">
        <f>+SUM($H$24:AD24)</f>
        <v>1970</v>
      </c>
      <c r="AE28" s="15">
        <f>+SUM($H$24:AE24)</f>
        <v>2474</v>
      </c>
      <c r="AF28" s="15">
        <f>+SUM($H$24:AF24)</f>
        <v>3000</v>
      </c>
      <c r="AG28" s="15">
        <f>+SUM($H$24:AG24)</f>
        <v>3000</v>
      </c>
      <c r="AH28" s="15">
        <f>+SUM($H$24:AH24)</f>
        <v>3000</v>
      </c>
      <c r="AI28" s="15">
        <f>+SUM($H$24:AI24)</f>
        <v>3000</v>
      </c>
      <c r="AJ28" s="86">
        <f>+SUM($H$24:AJ24)</f>
        <v>3000</v>
      </c>
      <c r="AK28" s="15">
        <f>+SUM($H$24:AK24)</f>
        <v>3000</v>
      </c>
      <c r="AL28" s="45">
        <f>+SUM($H$24:AL24)</f>
        <v>3000</v>
      </c>
      <c r="AM28" s="15">
        <f>+SUM($H$24:AM24)</f>
        <v>3000</v>
      </c>
      <c r="AN28" s="15">
        <f>+SUM($H$24:AN24)</f>
        <v>3000</v>
      </c>
      <c r="AO28" s="15">
        <f>+SUM($H$24:AO24)</f>
        <v>3000</v>
      </c>
      <c r="AP28" s="15">
        <f>+SUM($H$24:AP24)</f>
        <v>3000</v>
      </c>
      <c r="AQ28" s="15">
        <f>+SUM($H$24:AQ24)</f>
        <v>3000</v>
      </c>
      <c r="AR28" s="15">
        <f>+SUM($H$24:AR24)</f>
        <v>3000</v>
      </c>
      <c r="AS28" s="15">
        <f>+SUM($H$24:AS24)</f>
        <v>3000</v>
      </c>
      <c r="AT28" s="15">
        <f>+SUM($H$24:AT24)</f>
        <v>3000</v>
      </c>
      <c r="AU28" s="15">
        <f>+SUM($H$24:AU24)</f>
        <v>3000</v>
      </c>
      <c r="AV28" s="45">
        <f>+SUM($H$24:AV24)</f>
        <v>3000</v>
      </c>
      <c r="AW28" s="15">
        <f>+SUM($H$24:AW24)</f>
        <v>3000</v>
      </c>
      <c r="AX28" s="15">
        <f>+SUM($H$24:AX24)</f>
        <v>3000</v>
      </c>
      <c r="AY28" s="15">
        <f>+SUM($H$24:AY24)</f>
        <v>3000</v>
      </c>
      <c r="AZ28" s="15">
        <f>+SUM($H$24:AZ24)</f>
        <v>3000</v>
      </c>
      <c r="BA28" s="15">
        <f>+SUM($H$24:BA24)</f>
        <v>3000</v>
      </c>
      <c r="BB28" s="15">
        <f>+SUM($H$24:BB24)</f>
        <v>3000</v>
      </c>
      <c r="BC28" s="15">
        <f>+SUM($H$24:BC24)</f>
        <v>3000</v>
      </c>
      <c r="BD28" s="15">
        <f>+SUM($H$24:BD24)</f>
        <v>3000</v>
      </c>
      <c r="BE28" s="15">
        <f>+SUM($H$24:BE24)</f>
        <v>3000</v>
      </c>
      <c r="BF28" s="15">
        <f>+SUM($H$24:BF24)</f>
        <v>3000</v>
      </c>
      <c r="BG28" s="15">
        <f>+SUM($H$24:BG24)</f>
        <v>3000</v>
      </c>
      <c r="BH28" s="15">
        <f>+SUM($H$24:BH24)</f>
        <v>3000</v>
      </c>
    </row>
    <row r="29" spans="2:60" x14ac:dyDescent="0.3">
      <c r="C29" s="40"/>
      <c r="D29" s="41"/>
      <c r="E29" s="46"/>
      <c r="F29" s="47"/>
      <c r="G29" s="48"/>
      <c r="H29" s="21">
        <f>+SUM($H$25:H25)</f>
        <v>0</v>
      </c>
      <c r="I29" s="21">
        <f>+SUM($H$25:I25)</f>
        <v>0</v>
      </c>
      <c r="J29" s="21">
        <f>+SUM($H$25:J25)</f>
        <v>0</v>
      </c>
      <c r="K29" s="21">
        <f>+SUM($H$25:K25)</f>
        <v>0</v>
      </c>
      <c r="L29" s="21">
        <f>+SUM($H$25:L25)</f>
        <v>0</v>
      </c>
      <c r="M29" s="21">
        <f>+SUM($H$25:M25)</f>
        <v>0</v>
      </c>
      <c r="N29" s="21">
        <f>+SUM($H$25:N25)</f>
        <v>0</v>
      </c>
      <c r="O29" s="21">
        <f>+SUM($H$25:O25)</f>
        <v>0</v>
      </c>
      <c r="P29" s="21">
        <f>+SUM($H$25:P25)</f>
        <v>0</v>
      </c>
      <c r="Q29" s="21">
        <f>+SUM($H$25:Q25)</f>
        <v>0</v>
      </c>
      <c r="R29" s="21">
        <f>+SUM($H$25:R25)</f>
        <v>0</v>
      </c>
      <c r="S29" s="21">
        <f>+SUM($H$25:S25)</f>
        <v>0</v>
      </c>
      <c r="T29" s="21">
        <f>+SUM($H$25:T25)</f>
        <v>0</v>
      </c>
      <c r="U29" s="21">
        <f>+SUM($H$25:U25)</f>
        <v>0</v>
      </c>
      <c r="V29" s="21">
        <f>+SUM($H$25:V25)</f>
        <v>0</v>
      </c>
      <c r="W29" s="21">
        <f>+SUM($H$25:W25)</f>
        <v>0</v>
      </c>
      <c r="X29" s="21">
        <f>+SUM($H$25:X25)</f>
        <v>0</v>
      </c>
      <c r="Y29" s="21">
        <f>+SUM($H$25:Y25)</f>
        <v>0</v>
      </c>
      <c r="Z29" s="21">
        <f>+SUM($H$25:Z25)</f>
        <v>0</v>
      </c>
      <c r="AA29" s="21">
        <f>+SUM($H$25:AA25)</f>
        <v>0</v>
      </c>
      <c r="AB29" s="21">
        <f>+SUM($H$25:AB25)</f>
        <v>0</v>
      </c>
      <c r="AC29" s="21">
        <f>+SUM($H$25:AC25)</f>
        <v>0</v>
      </c>
      <c r="AD29" s="21">
        <f>+SUM($H$25:AD25)</f>
        <v>0</v>
      </c>
      <c r="AE29" s="21">
        <f>+SUM($H$25:AE25)</f>
        <v>0</v>
      </c>
      <c r="AF29" s="21">
        <f>+SUM($H$25:AF25)</f>
        <v>0</v>
      </c>
      <c r="AG29" s="21">
        <f>+SUM($H$25:AG25)</f>
        <v>0</v>
      </c>
      <c r="AH29" s="21">
        <f>+SUM($H$25:AH25)</f>
        <v>0</v>
      </c>
      <c r="AI29" s="21">
        <f>+SUM($H$25:AI25)</f>
        <v>0</v>
      </c>
      <c r="AJ29" s="87">
        <f>+SUM($H$25:AJ25)</f>
        <v>0</v>
      </c>
      <c r="AK29" s="21">
        <f>+SUM($H$25:AK25)</f>
        <v>0</v>
      </c>
      <c r="AL29" s="49">
        <f>+SUM($H$25:AL25)</f>
        <v>0</v>
      </c>
      <c r="AM29" s="21">
        <f>+SUM($H$25:AM25)</f>
        <v>0</v>
      </c>
      <c r="AN29" s="21">
        <f>+SUM($H$25:AN25)</f>
        <v>0</v>
      </c>
      <c r="AO29" s="21">
        <f>+SUM($H$25:AO25)</f>
        <v>0</v>
      </c>
      <c r="AP29" s="21">
        <f>+SUM($H$25:AP25)</f>
        <v>0</v>
      </c>
      <c r="AQ29" s="21">
        <f>+SUM($H$25:AQ25)</f>
        <v>0</v>
      </c>
      <c r="AR29" s="21">
        <f>+SUM($H$25:AR25)</f>
        <v>0</v>
      </c>
      <c r="AS29" s="21">
        <f>+SUM($H$25:AS25)</f>
        <v>0</v>
      </c>
      <c r="AT29" s="21">
        <f>+SUM($H$25:AT25)</f>
        <v>0</v>
      </c>
      <c r="AU29" s="21">
        <f>+SUM($H$25:AU25)</f>
        <v>0</v>
      </c>
      <c r="AV29" s="49">
        <f>+SUM($H$25:AV25)</f>
        <v>0</v>
      </c>
      <c r="AW29" s="21">
        <f>+SUM($H$25:AW25)</f>
        <v>0</v>
      </c>
      <c r="AX29" s="21">
        <f>+SUM($H$25:AX25)</f>
        <v>0</v>
      </c>
      <c r="AY29" s="21">
        <f>+SUM($H$25:AY25)</f>
        <v>0</v>
      </c>
      <c r="AZ29" s="21">
        <f>+SUM($H$25:AZ25)</f>
        <v>0</v>
      </c>
      <c r="BA29" s="21">
        <f>+SUM($H$25:BA25)</f>
        <v>0</v>
      </c>
      <c r="BB29" s="21">
        <f>+SUM($H$25:BB25)</f>
        <v>0</v>
      </c>
      <c r="BC29" s="21">
        <f>+SUM($H$25:BC25)</f>
        <v>0</v>
      </c>
      <c r="BD29" s="21">
        <f>+SUM($H$25:BD25)</f>
        <v>0</v>
      </c>
      <c r="BE29" s="21">
        <f>+SUM($H$25:BE25)</f>
        <v>0</v>
      </c>
      <c r="BF29" s="21">
        <f>+SUM($H$25:BF25)</f>
        <v>0</v>
      </c>
      <c r="BG29" s="21">
        <f>+SUM($H$25:BG25)</f>
        <v>0</v>
      </c>
      <c r="BH29" s="21">
        <f>+SUM($H$25:BH25)</f>
        <v>0</v>
      </c>
    </row>
    <row r="30" spans="2:60" x14ac:dyDescent="0.3">
      <c r="C30" s="40"/>
      <c r="D30" s="41"/>
      <c r="E30" s="50" t="s">
        <v>64</v>
      </c>
      <c r="F30" s="51"/>
      <c r="G30" s="52"/>
      <c r="H30" s="53">
        <f>+IF(H28=0,0,$E24-H28)</f>
        <v>0</v>
      </c>
      <c r="I30" s="53">
        <f t="shared" ref="I30:BH31" si="6">+IF(I28=0,0,$E24-I28)</f>
        <v>0</v>
      </c>
      <c r="J30" s="53">
        <f t="shared" si="6"/>
        <v>0</v>
      </c>
      <c r="K30" s="53">
        <f t="shared" si="6"/>
        <v>0</v>
      </c>
      <c r="L30" s="53">
        <f t="shared" si="6"/>
        <v>0</v>
      </c>
      <c r="M30" s="53">
        <f t="shared" si="6"/>
        <v>0</v>
      </c>
      <c r="N30" s="53">
        <f t="shared" si="6"/>
        <v>0</v>
      </c>
      <c r="O30" s="53">
        <f t="shared" si="6"/>
        <v>0</v>
      </c>
      <c r="P30" s="53">
        <f t="shared" si="6"/>
        <v>0</v>
      </c>
      <c r="Q30" s="53">
        <f t="shared" si="6"/>
        <v>0</v>
      </c>
      <c r="R30" s="53">
        <f t="shared" si="6"/>
        <v>0</v>
      </c>
      <c r="S30" s="53">
        <f t="shared" si="6"/>
        <v>0</v>
      </c>
      <c r="T30" s="53">
        <f t="shared" si="6"/>
        <v>0</v>
      </c>
      <c r="U30" s="53">
        <f t="shared" si="6"/>
        <v>0</v>
      </c>
      <c r="V30" s="53">
        <f t="shared" si="6"/>
        <v>0</v>
      </c>
      <c r="W30" s="53">
        <f t="shared" si="6"/>
        <v>0</v>
      </c>
      <c r="X30" s="53">
        <f t="shared" si="6"/>
        <v>0</v>
      </c>
      <c r="Y30" s="53">
        <f t="shared" si="6"/>
        <v>0</v>
      </c>
      <c r="Z30" s="53">
        <f t="shared" si="6"/>
        <v>0</v>
      </c>
      <c r="AA30" s="53">
        <f t="shared" si="6"/>
        <v>2600</v>
      </c>
      <c r="AB30" s="53">
        <f t="shared" si="6"/>
        <v>2190</v>
      </c>
      <c r="AC30" s="53">
        <f t="shared" si="6"/>
        <v>1528</v>
      </c>
      <c r="AD30" s="53">
        <f t="shared" si="6"/>
        <v>1030</v>
      </c>
      <c r="AE30" s="53">
        <f t="shared" si="6"/>
        <v>526</v>
      </c>
      <c r="AF30" s="53">
        <f t="shared" si="6"/>
        <v>0</v>
      </c>
      <c r="AG30" s="53">
        <f t="shared" si="6"/>
        <v>0</v>
      </c>
      <c r="AH30" s="53">
        <f t="shared" si="6"/>
        <v>0</v>
      </c>
      <c r="AI30" s="53">
        <f t="shared" si="6"/>
        <v>0</v>
      </c>
      <c r="AJ30" s="82">
        <f t="shared" si="6"/>
        <v>0</v>
      </c>
      <c r="AK30" s="53">
        <f t="shared" si="6"/>
        <v>0</v>
      </c>
      <c r="AL30" s="54">
        <f t="shared" si="6"/>
        <v>0</v>
      </c>
      <c r="AM30" s="53">
        <f t="shared" si="6"/>
        <v>0</v>
      </c>
      <c r="AN30" s="53">
        <f t="shared" si="6"/>
        <v>0</v>
      </c>
      <c r="AO30" s="53">
        <f t="shared" si="6"/>
        <v>0</v>
      </c>
      <c r="AP30" s="53">
        <f t="shared" si="6"/>
        <v>0</v>
      </c>
      <c r="AQ30" s="53">
        <f t="shared" si="6"/>
        <v>0</v>
      </c>
      <c r="AR30" s="53">
        <f t="shared" si="6"/>
        <v>0</v>
      </c>
      <c r="AS30" s="53">
        <f t="shared" si="6"/>
        <v>0</v>
      </c>
      <c r="AT30" s="53">
        <f t="shared" si="6"/>
        <v>0</v>
      </c>
      <c r="AU30" s="53">
        <f t="shared" si="6"/>
        <v>0</v>
      </c>
      <c r="AV30" s="54">
        <f t="shared" si="6"/>
        <v>0</v>
      </c>
      <c r="AW30" s="53">
        <f t="shared" si="6"/>
        <v>0</v>
      </c>
      <c r="AX30" s="53">
        <f t="shared" si="6"/>
        <v>0</v>
      </c>
      <c r="AY30" s="53">
        <f t="shared" si="6"/>
        <v>0</v>
      </c>
      <c r="AZ30" s="53">
        <f t="shared" si="6"/>
        <v>0</v>
      </c>
      <c r="BA30" s="53">
        <f t="shared" si="6"/>
        <v>0</v>
      </c>
      <c r="BB30" s="53">
        <f t="shared" si="6"/>
        <v>0</v>
      </c>
      <c r="BC30" s="53">
        <f t="shared" si="6"/>
        <v>0</v>
      </c>
      <c r="BD30" s="53">
        <f t="shared" si="6"/>
        <v>0</v>
      </c>
      <c r="BE30" s="53">
        <f t="shared" si="6"/>
        <v>0</v>
      </c>
      <c r="BF30" s="53">
        <f t="shared" si="6"/>
        <v>0</v>
      </c>
      <c r="BG30" s="53">
        <f t="shared" si="6"/>
        <v>0</v>
      </c>
      <c r="BH30" s="53">
        <f t="shared" si="6"/>
        <v>0</v>
      </c>
    </row>
    <row r="31" spans="2:60" x14ac:dyDescent="0.3">
      <c r="C31" s="60"/>
      <c r="D31" s="61"/>
      <c r="E31" s="55"/>
      <c r="F31" s="56"/>
      <c r="G31" s="57"/>
      <c r="H31" s="58">
        <f>+IF(H29=0,0,$E25-H29)</f>
        <v>0</v>
      </c>
      <c r="I31" s="58">
        <f t="shared" si="6"/>
        <v>0</v>
      </c>
      <c r="J31" s="58">
        <f t="shared" si="6"/>
        <v>0</v>
      </c>
      <c r="K31" s="58">
        <f t="shared" si="6"/>
        <v>0</v>
      </c>
      <c r="L31" s="58">
        <f t="shared" si="6"/>
        <v>0</v>
      </c>
      <c r="M31" s="58">
        <f t="shared" si="6"/>
        <v>0</v>
      </c>
      <c r="N31" s="58">
        <f t="shared" si="6"/>
        <v>0</v>
      </c>
      <c r="O31" s="58">
        <f t="shared" si="6"/>
        <v>0</v>
      </c>
      <c r="P31" s="58">
        <f t="shared" si="6"/>
        <v>0</v>
      </c>
      <c r="Q31" s="58">
        <f t="shared" si="6"/>
        <v>0</v>
      </c>
      <c r="R31" s="58">
        <f t="shared" si="6"/>
        <v>0</v>
      </c>
      <c r="S31" s="58">
        <f t="shared" si="6"/>
        <v>0</v>
      </c>
      <c r="T31" s="58">
        <f t="shared" si="6"/>
        <v>0</v>
      </c>
      <c r="U31" s="58">
        <f t="shared" si="6"/>
        <v>0</v>
      </c>
      <c r="V31" s="58">
        <f t="shared" si="6"/>
        <v>0</v>
      </c>
      <c r="W31" s="58">
        <f t="shared" si="6"/>
        <v>0</v>
      </c>
      <c r="X31" s="58">
        <f t="shared" si="6"/>
        <v>0</v>
      </c>
      <c r="Y31" s="58">
        <f t="shared" si="6"/>
        <v>0</v>
      </c>
      <c r="Z31" s="58">
        <f t="shared" si="6"/>
        <v>0</v>
      </c>
      <c r="AA31" s="58">
        <f t="shared" si="6"/>
        <v>0</v>
      </c>
      <c r="AB31" s="58">
        <f t="shared" si="6"/>
        <v>0</v>
      </c>
      <c r="AC31" s="58">
        <f t="shared" si="6"/>
        <v>0</v>
      </c>
      <c r="AD31" s="58">
        <f t="shared" si="6"/>
        <v>0</v>
      </c>
      <c r="AE31" s="58">
        <f t="shared" si="6"/>
        <v>0</v>
      </c>
      <c r="AF31" s="58">
        <f t="shared" si="6"/>
        <v>0</v>
      </c>
      <c r="AG31" s="58">
        <f t="shared" si="6"/>
        <v>0</v>
      </c>
      <c r="AH31" s="58">
        <f t="shared" si="6"/>
        <v>0</v>
      </c>
      <c r="AI31" s="58">
        <f t="shared" si="6"/>
        <v>0</v>
      </c>
      <c r="AJ31" s="88">
        <f t="shared" si="6"/>
        <v>0</v>
      </c>
      <c r="AK31" s="58">
        <f t="shared" si="6"/>
        <v>0</v>
      </c>
      <c r="AL31" s="59">
        <f t="shared" si="6"/>
        <v>0</v>
      </c>
      <c r="AM31" s="58">
        <f t="shared" si="6"/>
        <v>0</v>
      </c>
      <c r="AN31" s="58">
        <f t="shared" si="6"/>
        <v>0</v>
      </c>
      <c r="AO31" s="58">
        <f t="shared" si="6"/>
        <v>0</v>
      </c>
      <c r="AP31" s="58">
        <f t="shared" si="6"/>
        <v>0</v>
      </c>
      <c r="AQ31" s="58">
        <f t="shared" si="6"/>
        <v>0</v>
      </c>
      <c r="AR31" s="58">
        <f t="shared" si="6"/>
        <v>0</v>
      </c>
      <c r="AS31" s="58">
        <f t="shared" si="6"/>
        <v>0</v>
      </c>
      <c r="AT31" s="58">
        <f t="shared" si="6"/>
        <v>0</v>
      </c>
      <c r="AU31" s="58">
        <f t="shared" si="6"/>
        <v>0</v>
      </c>
      <c r="AV31" s="59">
        <f t="shared" si="6"/>
        <v>0</v>
      </c>
      <c r="AW31" s="58">
        <f t="shared" si="6"/>
        <v>0</v>
      </c>
      <c r="AX31" s="58">
        <f t="shared" si="6"/>
        <v>0</v>
      </c>
      <c r="AY31" s="58">
        <f t="shared" si="6"/>
        <v>0</v>
      </c>
      <c r="AZ31" s="58">
        <f t="shared" si="6"/>
        <v>0</v>
      </c>
      <c r="BA31" s="58">
        <f t="shared" si="6"/>
        <v>0</v>
      </c>
      <c r="BB31" s="58">
        <f t="shared" si="6"/>
        <v>0</v>
      </c>
      <c r="BC31" s="58">
        <f t="shared" si="6"/>
        <v>0</v>
      </c>
      <c r="BD31" s="58">
        <f t="shared" si="6"/>
        <v>0</v>
      </c>
      <c r="BE31" s="58">
        <f t="shared" si="6"/>
        <v>0</v>
      </c>
      <c r="BF31" s="58">
        <f t="shared" si="6"/>
        <v>0</v>
      </c>
      <c r="BG31" s="58">
        <f t="shared" si="6"/>
        <v>0</v>
      </c>
      <c r="BH31" s="58">
        <f t="shared" si="6"/>
        <v>0</v>
      </c>
    </row>
    <row r="32" spans="2:60" x14ac:dyDescent="0.3">
      <c r="C32" s="40"/>
      <c r="D32" s="41"/>
      <c r="E32" s="89" t="s">
        <v>5</v>
      </c>
      <c r="F32" s="90"/>
      <c r="H32" s="17">
        <f>IFERROR(H28/$E24,)</f>
        <v>0</v>
      </c>
      <c r="I32" s="17">
        <f t="shared" ref="I32:BH33" si="7">IFERROR(I28/$E24,)</f>
        <v>0</v>
      </c>
      <c r="J32" s="17">
        <f t="shared" si="7"/>
        <v>0</v>
      </c>
      <c r="K32" s="17">
        <f t="shared" si="7"/>
        <v>0</v>
      </c>
      <c r="L32" s="17">
        <f t="shared" si="7"/>
        <v>0</v>
      </c>
      <c r="M32" s="17">
        <f t="shared" si="7"/>
        <v>0</v>
      </c>
      <c r="N32" s="17">
        <f t="shared" si="7"/>
        <v>0</v>
      </c>
      <c r="O32" s="17">
        <f t="shared" si="7"/>
        <v>0</v>
      </c>
      <c r="P32" s="17">
        <f t="shared" si="7"/>
        <v>0</v>
      </c>
      <c r="Q32" s="17">
        <f t="shared" si="7"/>
        <v>0</v>
      </c>
      <c r="R32" s="17">
        <f t="shared" si="7"/>
        <v>0</v>
      </c>
      <c r="S32" s="17">
        <f t="shared" si="7"/>
        <v>0</v>
      </c>
      <c r="T32" s="17">
        <f t="shared" si="7"/>
        <v>0</v>
      </c>
      <c r="U32" s="17">
        <f t="shared" si="7"/>
        <v>0</v>
      </c>
      <c r="V32" s="17">
        <f t="shared" si="7"/>
        <v>0</v>
      </c>
      <c r="W32" s="17">
        <f t="shared" si="7"/>
        <v>0</v>
      </c>
      <c r="X32" s="17">
        <f t="shared" si="7"/>
        <v>0</v>
      </c>
      <c r="Y32" s="17">
        <f t="shared" si="7"/>
        <v>0</v>
      </c>
      <c r="Z32" s="17">
        <f t="shared" si="7"/>
        <v>0</v>
      </c>
      <c r="AA32" s="17">
        <f t="shared" si="7"/>
        <v>0.13333333333333333</v>
      </c>
      <c r="AB32" s="17">
        <f t="shared" si="7"/>
        <v>0.27</v>
      </c>
      <c r="AC32" s="17">
        <f t="shared" si="7"/>
        <v>0.49066666666666664</v>
      </c>
      <c r="AD32" s="17">
        <f t="shared" si="7"/>
        <v>0.65666666666666662</v>
      </c>
      <c r="AE32" s="17">
        <f t="shared" si="7"/>
        <v>0.82466666666666666</v>
      </c>
      <c r="AF32" s="17">
        <f t="shared" si="7"/>
        <v>1</v>
      </c>
      <c r="AG32" s="17">
        <f t="shared" si="7"/>
        <v>1</v>
      </c>
      <c r="AH32" s="17">
        <f t="shared" si="7"/>
        <v>1</v>
      </c>
      <c r="AI32" s="17">
        <f t="shared" si="7"/>
        <v>1</v>
      </c>
      <c r="AJ32" s="84">
        <f t="shared" si="7"/>
        <v>1</v>
      </c>
      <c r="AK32" s="91">
        <f t="shared" si="7"/>
        <v>1</v>
      </c>
      <c r="AL32" s="32">
        <f t="shared" si="7"/>
        <v>1</v>
      </c>
      <c r="AM32" s="17">
        <f t="shared" si="7"/>
        <v>1</v>
      </c>
      <c r="AN32" s="17">
        <f t="shared" si="7"/>
        <v>1</v>
      </c>
      <c r="AO32" s="17">
        <f t="shared" si="7"/>
        <v>1</v>
      </c>
      <c r="AP32" s="17">
        <f t="shared" si="7"/>
        <v>1</v>
      </c>
      <c r="AQ32" s="17">
        <f t="shared" si="7"/>
        <v>1</v>
      </c>
      <c r="AR32" s="17">
        <f t="shared" si="7"/>
        <v>1</v>
      </c>
      <c r="AS32" s="17">
        <f t="shared" si="7"/>
        <v>1</v>
      </c>
      <c r="AT32" s="17">
        <f t="shared" si="7"/>
        <v>1</v>
      </c>
      <c r="AU32" s="17">
        <f t="shared" si="7"/>
        <v>1</v>
      </c>
      <c r="AV32" s="32">
        <f t="shared" si="7"/>
        <v>1</v>
      </c>
      <c r="AW32" s="17">
        <f t="shared" si="7"/>
        <v>1</v>
      </c>
      <c r="AX32" s="17">
        <f t="shared" si="7"/>
        <v>1</v>
      </c>
      <c r="AY32" s="17">
        <f t="shared" si="7"/>
        <v>1</v>
      </c>
      <c r="AZ32" s="17">
        <f t="shared" si="7"/>
        <v>1</v>
      </c>
      <c r="BA32" s="17">
        <f t="shared" si="7"/>
        <v>1</v>
      </c>
      <c r="BB32" s="17">
        <f t="shared" si="7"/>
        <v>1</v>
      </c>
      <c r="BC32" s="17">
        <f t="shared" si="7"/>
        <v>1</v>
      </c>
      <c r="BD32" s="17">
        <f t="shared" si="7"/>
        <v>1</v>
      </c>
      <c r="BE32" s="17">
        <f t="shared" si="7"/>
        <v>1</v>
      </c>
      <c r="BF32" s="17">
        <f t="shared" si="7"/>
        <v>1</v>
      </c>
      <c r="BG32" s="17">
        <f t="shared" si="7"/>
        <v>1</v>
      </c>
      <c r="BH32" s="17">
        <f t="shared" si="7"/>
        <v>1</v>
      </c>
    </row>
    <row r="33" spans="2:60" x14ac:dyDescent="0.3">
      <c r="C33" s="60"/>
      <c r="D33" s="61"/>
      <c r="E33" s="92"/>
      <c r="F33" s="93"/>
      <c r="G33" s="94"/>
      <c r="H33" s="23">
        <f>IFERROR(H29/$E25,)</f>
        <v>0</v>
      </c>
      <c r="I33" s="23">
        <f t="shared" si="7"/>
        <v>0</v>
      </c>
      <c r="J33" s="23">
        <f t="shared" si="7"/>
        <v>0</v>
      </c>
      <c r="K33" s="23">
        <f t="shared" si="7"/>
        <v>0</v>
      </c>
      <c r="L33" s="23">
        <f t="shared" si="7"/>
        <v>0</v>
      </c>
      <c r="M33" s="23">
        <f t="shared" si="7"/>
        <v>0</v>
      </c>
      <c r="N33" s="23">
        <f t="shared" si="7"/>
        <v>0</v>
      </c>
      <c r="O33" s="23">
        <f t="shared" si="7"/>
        <v>0</v>
      </c>
      <c r="P33" s="23">
        <f t="shared" si="7"/>
        <v>0</v>
      </c>
      <c r="Q33" s="23">
        <f t="shared" si="7"/>
        <v>0</v>
      </c>
      <c r="R33" s="23">
        <f t="shared" si="7"/>
        <v>0</v>
      </c>
      <c r="S33" s="23">
        <f t="shared" si="7"/>
        <v>0</v>
      </c>
      <c r="T33" s="23">
        <f t="shared" si="7"/>
        <v>0</v>
      </c>
      <c r="U33" s="23">
        <f t="shared" si="7"/>
        <v>0</v>
      </c>
      <c r="V33" s="23">
        <f t="shared" si="7"/>
        <v>0</v>
      </c>
      <c r="W33" s="23">
        <f t="shared" si="7"/>
        <v>0</v>
      </c>
      <c r="X33" s="23">
        <f t="shared" si="7"/>
        <v>0</v>
      </c>
      <c r="Y33" s="23">
        <f t="shared" si="7"/>
        <v>0</v>
      </c>
      <c r="Z33" s="23">
        <f t="shared" si="7"/>
        <v>0</v>
      </c>
      <c r="AA33" s="23">
        <f t="shared" si="7"/>
        <v>0</v>
      </c>
      <c r="AB33" s="23">
        <f t="shared" si="7"/>
        <v>0</v>
      </c>
      <c r="AC33" s="23">
        <f t="shared" si="7"/>
        <v>0</v>
      </c>
      <c r="AD33" s="23">
        <f t="shared" si="7"/>
        <v>0</v>
      </c>
      <c r="AE33" s="23">
        <f t="shared" si="7"/>
        <v>0</v>
      </c>
      <c r="AF33" s="23">
        <f t="shared" si="7"/>
        <v>0</v>
      </c>
      <c r="AG33" s="23">
        <f t="shared" si="7"/>
        <v>0</v>
      </c>
      <c r="AH33" s="23">
        <f t="shared" si="7"/>
        <v>0</v>
      </c>
      <c r="AI33" s="23">
        <f t="shared" si="7"/>
        <v>0</v>
      </c>
      <c r="AJ33" s="85">
        <f t="shared" si="7"/>
        <v>0</v>
      </c>
      <c r="AK33" s="23">
        <f t="shared" si="7"/>
        <v>0</v>
      </c>
      <c r="AL33" s="38">
        <f t="shared" si="7"/>
        <v>0</v>
      </c>
      <c r="AM33" s="23">
        <f t="shared" si="7"/>
        <v>0</v>
      </c>
      <c r="AN33" s="23">
        <f t="shared" si="7"/>
        <v>0</v>
      </c>
      <c r="AO33" s="23">
        <f t="shared" si="7"/>
        <v>0</v>
      </c>
      <c r="AP33" s="23">
        <f t="shared" si="7"/>
        <v>0</v>
      </c>
      <c r="AQ33" s="23">
        <f t="shared" si="7"/>
        <v>0</v>
      </c>
      <c r="AR33" s="23">
        <f t="shared" si="7"/>
        <v>0</v>
      </c>
      <c r="AS33" s="23">
        <f t="shared" si="7"/>
        <v>0</v>
      </c>
      <c r="AT33" s="23">
        <f t="shared" si="7"/>
        <v>0</v>
      </c>
      <c r="AU33" s="23">
        <f t="shared" si="7"/>
        <v>0</v>
      </c>
      <c r="AV33" s="38">
        <f t="shared" si="7"/>
        <v>0</v>
      </c>
      <c r="AW33" s="23">
        <f t="shared" si="7"/>
        <v>0</v>
      </c>
      <c r="AX33" s="23">
        <f t="shared" si="7"/>
        <v>0</v>
      </c>
      <c r="AY33" s="23">
        <f t="shared" si="7"/>
        <v>0</v>
      </c>
      <c r="AZ33" s="23">
        <f t="shared" si="7"/>
        <v>0</v>
      </c>
      <c r="BA33" s="23">
        <f t="shared" si="7"/>
        <v>0</v>
      </c>
      <c r="BB33" s="23">
        <f t="shared" si="7"/>
        <v>0</v>
      </c>
      <c r="BC33" s="23">
        <f t="shared" si="7"/>
        <v>0</v>
      </c>
      <c r="BD33" s="23">
        <f t="shared" si="7"/>
        <v>0</v>
      </c>
      <c r="BE33" s="23">
        <f t="shared" si="7"/>
        <v>0</v>
      </c>
      <c r="BF33" s="23">
        <f t="shared" si="7"/>
        <v>0</v>
      </c>
      <c r="BG33" s="23">
        <f t="shared" si="7"/>
        <v>0</v>
      </c>
      <c r="BH33" s="23">
        <f t="shared" si="7"/>
        <v>0</v>
      </c>
    </row>
    <row r="34" spans="2:60" x14ac:dyDescent="0.3">
      <c r="C34"/>
    </row>
    <row r="35" spans="2:60" x14ac:dyDescent="0.3">
      <c r="F35" t="s">
        <v>5</v>
      </c>
      <c r="G35" s="68">
        <v>1</v>
      </c>
      <c r="AA35" t="s">
        <v>66</v>
      </c>
      <c r="AG35" t="s">
        <v>76</v>
      </c>
    </row>
    <row r="36" spans="2:60" x14ac:dyDescent="0.3">
      <c r="C36" s="69" t="s">
        <v>70</v>
      </c>
      <c r="F36" s="70"/>
      <c r="G36" s="71" cm="1">
        <f t="array" ref="G36">IFERROR(
IF(INDEX($H$36:$BH$36,MATCH(TRUE,$H42:$BH42&gt;=($E$38*$G$35),0))&gt;=$AP$22,"X",INDEX($H$22:$BH$22,,MATCH(TRUE,$H42:$BH42&gt;=($E$38*$G$35),0))),"X")</f>
        <v>46194</v>
      </c>
      <c r="H36" s="72">
        <v>46026</v>
      </c>
      <c r="I36" s="72">
        <v>46033</v>
      </c>
      <c r="J36" s="72">
        <v>46040</v>
      </c>
      <c r="K36" s="72">
        <v>46047</v>
      </c>
      <c r="L36" s="72">
        <v>46054</v>
      </c>
      <c r="M36" s="72">
        <v>46061</v>
      </c>
      <c r="N36" s="72">
        <v>46068</v>
      </c>
      <c r="O36" s="72">
        <v>46075</v>
      </c>
      <c r="P36" s="72">
        <v>46082</v>
      </c>
      <c r="Q36" s="72">
        <v>46089</v>
      </c>
      <c r="R36" s="72">
        <v>46096</v>
      </c>
      <c r="S36" s="72">
        <v>46103</v>
      </c>
      <c r="T36" s="72">
        <v>46110</v>
      </c>
      <c r="U36" s="72">
        <v>46117</v>
      </c>
      <c r="V36" s="72">
        <v>46124</v>
      </c>
      <c r="W36" s="72">
        <v>46131</v>
      </c>
      <c r="X36" s="72">
        <v>46138</v>
      </c>
      <c r="Y36" s="72">
        <v>46145</v>
      </c>
      <c r="Z36" s="72">
        <v>46152</v>
      </c>
      <c r="AA36" s="72">
        <v>46159</v>
      </c>
      <c r="AB36" s="72">
        <v>46166</v>
      </c>
      <c r="AC36" s="72">
        <v>46173</v>
      </c>
      <c r="AD36" s="72">
        <v>46180</v>
      </c>
      <c r="AE36" s="72">
        <v>46187</v>
      </c>
      <c r="AF36" s="72">
        <v>46194</v>
      </c>
      <c r="AG36" s="72">
        <v>46201</v>
      </c>
      <c r="AH36" s="72">
        <v>46208</v>
      </c>
      <c r="AI36" s="72">
        <v>46215</v>
      </c>
      <c r="AJ36" s="73">
        <v>46222</v>
      </c>
      <c r="AK36" s="72">
        <v>46229</v>
      </c>
      <c r="AL36" s="74">
        <v>46236</v>
      </c>
      <c r="AM36" s="72">
        <v>46243</v>
      </c>
      <c r="AN36" s="72">
        <v>46250</v>
      </c>
      <c r="AO36" s="72">
        <v>46257</v>
      </c>
      <c r="AP36" s="72">
        <v>46264</v>
      </c>
      <c r="AQ36" s="72">
        <v>46271</v>
      </c>
      <c r="AR36" s="72">
        <v>46278</v>
      </c>
      <c r="AS36" s="72">
        <v>46285</v>
      </c>
      <c r="AT36" s="72">
        <v>46292</v>
      </c>
      <c r="AU36" s="72">
        <v>46299</v>
      </c>
      <c r="AV36" s="75">
        <f t="shared" ref="AV36:BG36" si="8">AU36+7</f>
        <v>46306</v>
      </c>
      <c r="AW36" s="76">
        <f t="shared" si="8"/>
        <v>46313</v>
      </c>
      <c r="AX36" s="76">
        <f t="shared" si="8"/>
        <v>46320</v>
      </c>
      <c r="AY36" s="76">
        <f t="shared" si="8"/>
        <v>46327</v>
      </c>
      <c r="AZ36" s="76">
        <f t="shared" si="8"/>
        <v>46334</v>
      </c>
      <c r="BA36" s="76">
        <f t="shared" si="8"/>
        <v>46341</v>
      </c>
      <c r="BB36" s="76">
        <f t="shared" si="8"/>
        <v>46348</v>
      </c>
      <c r="BC36" s="76">
        <f t="shared" si="8"/>
        <v>46355</v>
      </c>
      <c r="BD36" s="76">
        <f t="shared" si="8"/>
        <v>46362</v>
      </c>
      <c r="BE36" s="76">
        <f t="shared" si="8"/>
        <v>46369</v>
      </c>
      <c r="BF36" s="76">
        <f t="shared" si="8"/>
        <v>46376</v>
      </c>
      <c r="BG36" s="76">
        <f t="shared" si="8"/>
        <v>46383</v>
      </c>
      <c r="BH36" s="76">
        <v>46387</v>
      </c>
    </row>
    <row r="37" spans="2:60" x14ac:dyDescent="0.3">
      <c r="C37" s="12" t="s">
        <v>1</v>
      </c>
      <c r="D37" s="12" t="s">
        <v>2</v>
      </c>
      <c r="E37" s="77" t="s">
        <v>3</v>
      </c>
      <c r="F37" s="77" t="s">
        <v>0</v>
      </c>
      <c r="G37" s="77" t="s">
        <v>5</v>
      </c>
      <c r="H37" s="12" t="s">
        <v>6</v>
      </c>
      <c r="I37" s="12" t="s">
        <v>7</v>
      </c>
      <c r="J37" s="12" t="s">
        <v>8</v>
      </c>
      <c r="K37" s="12" t="s">
        <v>9</v>
      </c>
      <c r="L37" s="12" t="s">
        <v>10</v>
      </c>
      <c r="M37" s="12" t="s">
        <v>11</v>
      </c>
      <c r="N37" s="12" t="s">
        <v>12</v>
      </c>
      <c r="O37" s="12" t="s">
        <v>13</v>
      </c>
      <c r="P37" s="12" t="s">
        <v>14</v>
      </c>
      <c r="Q37" s="12" t="s">
        <v>15</v>
      </c>
      <c r="R37" s="12" t="s">
        <v>16</v>
      </c>
      <c r="S37" s="12" t="s">
        <v>17</v>
      </c>
      <c r="T37" s="12" t="s">
        <v>18</v>
      </c>
      <c r="U37" s="12" t="s">
        <v>19</v>
      </c>
      <c r="V37" s="12" t="s">
        <v>20</v>
      </c>
      <c r="W37" s="12" t="s">
        <v>21</v>
      </c>
      <c r="X37" s="12" t="s">
        <v>22</v>
      </c>
      <c r="Y37" s="12" t="s">
        <v>23</v>
      </c>
      <c r="Z37" s="12" t="s">
        <v>24</v>
      </c>
      <c r="AA37" s="12" t="s">
        <v>25</v>
      </c>
      <c r="AB37" s="12" t="s">
        <v>26</v>
      </c>
      <c r="AC37" s="12" t="s">
        <v>27</v>
      </c>
      <c r="AD37" s="12" t="s">
        <v>28</v>
      </c>
      <c r="AE37" s="12" t="s">
        <v>29</v>
      </c>
      <c r="AF37" s="12" t="s">
        <v>30</v>
      </c>
      <c r="AG37" s="12" t="s">
        <v>31</v>
      </c>
      <c r="AH37" s="12" t="s">
        <v>32</v>
      </c>
      <c r="AI37" s="12" t="s">
        <v>33</v>
      </c>
      <c r="AJ37" s="78" t="s">
        <v>34</v>
      </c>
      <c r="AK37" s="12" t="s">
        <v>35</v>
      </c>
      <c r="AL37" s="13" t="s">
        <v>36</v>
      </c>
      <c r="AM37" s="12" t="s">
        <v>37</v>
      </c>
      <c r="AN37" s="12" t="s">
        <v>38</v>
      </c>
      <c r="AO37" s="12" t="s">
        <v>39</v>
      </c>
      <c r="AP37" s="12" t="s">
        <v>40</v>
      </c>
      <c r="AQ37" s="12" t="s">
        <v>41</v>
      </c>
      <c r="AR37" s="12" t="s">
        <v>42</v>
      </c>
      <c r="AS37" s="12" t="s">
        <v>43</v>
      </c>
      <c r="AT37" s="12" t="s">
        <v>44</v>
      </c>
      <c r="AU37" s="12" t="s">
        <v>45</v>
      </c>
      <c r="AV37" s="13" t="s">
        <v>46</v>
      </c>
      <c r="AW37" s="12" t="s">
        <v>47</v>
      </c>
      <c r="AX37" s="12" t="s">
        <v>48</v>
      </c>
      <c r="AY37" s="12" t="s">
        <v>49</v>
      </c>
      <c r="AZ37" s="12" t="s">
        <v>50</v>
      </c>
      <c r="BA37" s="12" t="s">
        <v>51</v>
      </c>
      <c r="BB37" s="12" t="s">
        <v>52</v>
      </c>
      <c r="BC37" s="12" t="s">
        <v>53</v>
      </c>
      <c r="BD37" s="12" t="s">
        <v>54</v>
      </c>
      <c r="BE37" s="12" t="s">
        <v>55</v>
      </c>
      <c r="BF37" s="12" t="s">
        <v>56</v>
      </c>
      <c r="BG37" s="12" t="s">
        <v>57</v>
      </c>
      <c r="BH37" s="12" t="s">
        <v>58</v>
      </c>
    </row>
    <row r="38" spans="2:60" x14ac:dyDescent="0.3">
      <c r="B38" t="str">
        <f>+C38&amp;D38</f>
        <v>WA2602STE1TC</v>
      </c>
      <c r="C38" s="12" t="s">
        <v>68</v>
      </c>
      <c r="D38" s="12" t="s">
        <v>60</v>
      </c>
      <c r="E38" s="79">
        <f>+E24</f>
        <v>3000</v>
      </c>
      <c r="F38" s="15">
        <f>SUM(H38:BH38)</f>
        <v>9400</v>
      </c>
      <c r="G38" s="17">
        <f>+F38/E38</f>
        <v>3.1333333333333333</v>
      </c>
      <c r="H38" s="77"/>
      <c r="I38" s="77"/>
      <c r="J38" s="77"/>
      <c r="K38" s="77"/>
      <c r="L38" s="77"/>
      <c r="M38" s="77"/>
      <c r="N38" s="77"/>
      <c r="O38" s="77"/>
      <c r="P38" s="80"/>
      <c r="Q38" s="80"/>
      <c r="R38" s="77"/>
      <c r="S38" s="77"/>
      <c r="T38" s="77"/>
      <c r="U38" s="77"/>
      <c r="V38" s="77"/>
      <c r="W38" s="77"/>
      <c r="X38" s="77"/>
      <c r="Y38" s="77"/>
      <c r="Z38" s="77"/>
      <c r="AA38" s="18">
        <v>400</v>
      </c>
      <c r="AB38">
        <f xml:space="preserve"> ROUND(AA38 * (1 +AB10), 0)</f>
        <v>410</v>
      </c>
      <c r="AC38" s="18">
        <f t="shared" ref="AC38:BH38" si="9" xml:space="preserve"> ROUND(AB38 * (1 +AC10), 0)</f>
        <v>662</v>
      </c>
      <c r="AD38" s="18">
        <f t="shared" si="9"/>
        <v>498</v>
      </c>
      <c r="AE38" s="18">
        <f t="shared" si="9"/>
        <v>504</v>
      </c>
      <c r="AF38" s="18">
        <f t="shared" si="9"/>
        <v>838</v>
      </c>
      <c r="AG38" s="106">
        <f t="shared" si="9"/>
        <v>876</v>
      </c>
      <c r="AH38" s="106">
        <f t="shared" si="9"/>
        <v>423</v>
      </c>
      <c r="AI38" s="106">
        <f t="shared" si="9"/>
        <v>542</v>
      </c>
      <c r="AJ38" s="107">
        <f t="shared" si="9"/>
        <v>352</v>
      </c>
      <c r="AK38" s="106">
        <f t="shared" si="9"/>
        <v>438</v>
      </c>
      <c r="AL38" s="108">
        <f t="shared" si="9"/>
        <v>516</v>
      </c>
      <c r="AM38" s="106">
        <f t="shared" si="9"/>
        <v>430</v>
      </c>
      <c r="AN38" s="106">
        <f t="shared" si="9"/>
        <v>326</v>
      </c>
      <c r="AO38" s="106">
        <f t="shared" si="9"/>
        <v>378</v>
      </c>
      <c r="AP38" s="106">
        <f t="shared" si="9"/>
        <v>197</v>
      </c>
      <c r="AQ38" s="106">
        <f t="shared" si="9"/>
        <v>181</v>
      </c>
      <c r="AR38" s="106">
        <f t="shared" si="9"/>
        <v>192</v>
      </c>
      <c r="AS38" s="106">
        <f t="shared" si="9"/>
        <v>175</v>
      </c>
      <c r="AT38" s="106">
        <f t="shared" si="9"/>
        <v>113</v>
      </c>
      <c r="AU38" s="106">
        <f t="shared" si="9"/>
        <v>110</v>
      </c>
      <c r="AV38" s="19">
        <f t="shared" si="9"/>
        <v>159</v>
      </c>
      <c r="AW38" s="18">
        <f t="shared" si="9"/>
        <v>94</v>
      </c>
      <c r="AX38" s="18">
        <f t="shared" si="9"/>
        <v>101</v>
      </c>
      <c r="AY38" s="18">
        <f t="shared" si="9"/>
        <v>84</v>
      </c>
      <c r="AZ38" s="18">
        <f t="shared" si="9"/>
        <v>43</v>
      </c>
      <c r="BA38" s="18">
        <f t="shared" si="9"/>
        <v>53</v>
      </c>
      <c r="BB38" s="18">
        <f t="shared" si="9"/>
        <v>55</v>
      </c>
      <c r="BC38" s="18">
        <f t="shared" si="9"/>
        <v>52</v>
      </c>
      <c r="BD38" s="18">
        <f t="shared" si="9"/>
        <v>40</v>
      </c>
      <c r="BE38" s="18">
        <f t="shared" si="9"/>
        <v>44</v>
      </c>
      <c r="BF38" s="18">
        <f t="shared" si="9"/>
        <v>46</v>
      </c>
      <c r="BG38" s="18">
        <f t="shared" si="9"/>
        <v>51</v>
      </c>
      <c r="BH38" s="18">
        <f t="shared" si="9"/>
        <v>17</v>
      </c>
    </row>
    <row r="39" spans="2:60" x14ac:dyDescent="0.3">
      <c r="B39" t="str">
        <f>+C39&amp;D39</f>
        <v>WA2602STE1WH</v>
      </c>
      <c r="C39" s="12" t="s">
        <v>68</v>
      </c>
      <c r="D39" s="12" t="s">
        <v>69</v>
      </c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83"/>
      <c r="AK39" s="77"/>
      <c r="AL39" s="7"/>
      <c r="AM39" s="77"/>
      <c r="AN39" s="77"/>
      <c r="AO39" s="77"/>
      <c r="AP39" s="77"/>
      <c r="AQ39" s="77"/>
      <c r="AR39" s="77"/>
      <c r="AS39" s="77"/>
      <c r="AT39" s="77"/>
      <c r="AU39" s="77"/>
      <c r="AV39" s="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</row>
    <row r="40" spans="2:60" s="26" customFormat="1" x14ac:dyDescent="0.3">
      <c r="C40" s="27" t="s">
        <v>74</v>
      </c>
      <c r="D40" s="28"/>
      <c r="E40" s="29" t="s">
        <v>62</v>
      </c>
      <c r="F40" s="30"/>
      <c r="G40" s="31"/>
      <c r="H40" s="17"/>
      <c r="I40" s="17">
        <f>IFERROR(I38/H38-1,)</f>
        <v>0</v>
      </c>
      <c r="J40" s="17">
        <f t="shared" ref="J40:BH41" si="10">IFERROR(J38/I38-1,)</f>
        <v>0</v>
      </c>
      <c r="K40" s="17">
        <f t="shared" si="10"/>
        <v>0</v>
      </c>
      <c r="L40" s="17">
        <f t="shared" si="10"/>
        <v>0</v>
      </c>
      <c r="M40" s="17">
        <f t="shared" si="10"/>
        <v>0</v>
      </c>
      <c r="N40" s="17">
        <f t="shared" si="10"/>
        <v>0</v>
      </c>
      <c r="O40" s="17">
        <f t="shared" si="10"/>
        <v>0</v>
      </c>
      <c r="P40" s="17">
        <f t="shared" si="10"/>
        <v>0</v>
      </c>
      <c r="Q40" s="17">
        <f t="shared" si="10"/>
        <v>0</v>
      </c>
      <c r="R40" s="17">
        <f t="shared" si="10"/>
        <v>0</v>
      </c>
      <c r="S40" s="17">
        <f t="shared" si="10"/>
        <v>0</v>
      </c>
      <c r="T40" s="17">
        <f t="shared" si="10"/>
        <v>0</v>
      </c>
      <c r="U40" s="17">
        <f t="shared" si="10"/>
        <v>0</v>
      </c>
      <c r="V40" s="17">
        <f t="shared" si="10"/>
        <v>0</v>
      </c>
      <c r="W40" s="17">
        <f t="shared" si="10"/>
        <v>0</v>
      </c>
      <c r="X40" s="17">
        <f t="shared" si="10"/>
        <v>0</v>
      </c>
      <c r="Y40" s="17">
        <f t="shared" si="10"/>
        <v>0</v>
      </c>
      <c r="Z40" s="17">
        <f t="shared" si="10"/>
        <v>0</v>
      </c>
      <c r="AA40" s="17">
        <f t="shared" si="10"/>
        <v>0</v>
      </c>
      <c r="AB40" s="17">
        <f t="shared" si="10"/>
        <v>2.4999999999999911E-2</v>
      </c>
      <c r="AC40" s="17">
        <f t="shared" si="10"/>
        <v>0.61463414634146352</v>
      </c>
      <c r="AD40" s="17">
        <f t="shared" si="10"/>
        <v>-0.24773413897280971</v>
      </c>
      <c r="AE40" s="17">
        <f t="shared" si="10"/>
        <v>1.2048192771084265E-2</v>
      </c>
      <c r="AF40" s="17">
        <f t="shared" si="10"/>
        <v>0.66269841269841279</v>
      </c>
      <c r="AG40" s="17">
        <f t="shared" si="10"/>
        <v>4.5346062052505909E-2</v>
      </c>
      <c r="AH40" s="17">
        <f t="shared" si="10"/>
        <v>-0.51712328767123283</v>
      </c>
      <c r="AI40" s="17">
        <f t="shared" si="10"/>
        <v>0.28132387706855799</v>
      </c>
      <c r="AJ40" s="84">
        <f t="shared" si="10"/>
        <v>-0.35055350553505538</v>
      </c>
      <c r="AK40" s="17">
        <f t="shared" si="10"/>
        <v>0.24431818181818188</v>
      </c>
      <c r="AL40" s="32">
        <f t="shared" si="10"/>
        <v>0.17808219178082196</v>
      </c>
      <c r="AM40" s="17">
        <f t="shared" si="10"/>
        <v>-0.16666666666666663</v>
      </c>
      <c r="AN40" s="17">
        <f t="shared" si="10"/>
        <v>-0.24186046511627912</v>
      </c>
      <c r="AO40" s="17">
        <f t="shared" si="10"/>
        <v>0.1595092024539877</v>
      </c>
      <c r="AP40" s="17">
        <f t="shared" si="10"/>
        <v>-0.47883597883597884</v>
      </c>
      <c r="AQ40" s="17">
        <f t="shared" si="10"/>
        <v>-8.1218274111675148E-2</v>
      </c>
      <c r="AR40" s="17">
        <f t="shared" si="10"/>
        <v>6.0773480662983381E-2</v>
      </c>
      <c r="AS40" s="17">
        <f t="shared" si="10"/>
        <v>-8.854166666666663E-2</v>
      </c>
      <c r="AT40" s="17">
        <f t="shared" si="10"/>
        <v>-0.35428571428571431</v>
      </c>
      <c r="AU40" s="17">
        <f t="shared" si="10"/>
        <v>-2.6548672566371723E-2</v>
      </c>
      <c r="AV40" s="32">
        <f t="shared" si="10"/>
        <v>0.44545454545454555</v>
      </c>
      <c r="AW40" s="17">
        <f t="shared" si="10"/>
        <v>-0.4088050314465409</v>
      </c>
      <c r="AX40" s="17">
        <f t="shared" si="10"/>
        <v>7.4468085106383031E-2</v>
      </c>
      <c r="AY40" s="17">
        <f t="shared" si="10"/>
        <v>-0.16831683168316836</v>
      </c>
      <c r="AZ40" s="17">
        <f t="shared" si="10"/>
        <v>-0.48809523809523814</v>
      </c>
      <c r="BA40" s="17">
        <f t="shared" si="10"/>
        <v>0.23255813953488369</v>
      </c>
      <c r="BB40" s="17">
        <f t="shared" si="10"/>
        <v>3.7735849056603765E-2</v>
      </c>
      <c r="BC40" s="17">
        <f t="shared" si="10"/>
        <v>-5.4545454545454564E-2</v>
      </c>
      <c r="BD40" s="17">
        <f t="shared" si="10"/>
        <v>-0.23076923076923073</v>
      </c>
      <c r="BE40" s="17">
        <f t="shared" si="10"/>
        <v>0.10000000000000009</v>
      </c>
      <c r="BF40" s="17">
        <f t="shared" si="10"/>
        <v>4.5454545454545414E-2</v>
      </c>
      <c r="BG40" s="17">
        <f t="shared" si="10"/>
        <v>0.10869565217391308</v>
      </c>
      <c r="BH40" s="17">
        <f t="shared" si="10"/>
        <v>-0.66666666666666674</v>
      </c>
    </row>
    <row r="41" spans="2:60" x14ac:dyDescent="0.3">
      <c r="C41" s="40"/>
      <c r="D41" s="34">
        <v>49000</v>
      </c>
      <c r="E41" s="35"/>
      <c r="F41" s="36"/>
      <c r="G41" s="37"/>
      <c r="H41" s="24"/>
      <c r="I41" s="23">
        <f>IFERROR(I39/H39-1,)</f>
        <v>0</v>
      </c>
      <c r="J41" s="23">
        <f t="shared" si="10"/>
        <v>0</v>
      </c>
      <c r="K41" s="23">
        <f t="shared" si="10"/>
        <v>0</v>
      </c>
      <c r="L41" s="23">
        <f t="shared" si="10"/>
        <v>0</v>
      </c>
      <c r="M41" s="23">
        <f t="shared" si="10"/>
        <v>0</v>
      </c>
      <c r="N41" s="23">
        <f t="shared" si="10"/>
        <v>0</v>
      </c>
      <c r="O41" s="23">
        <f t="shared" si="10"/>
        <v>0</v>
      </c>
      <c r="P41" s="23">
        <f t="shared" si="10"/>
        <v>0</v>
      </c>
      <c r="Q41" s="23">
        <f t="shared" si="10"/>
        <v>0</v>
      </c>
      <c r="R41" s="23">
        <f t="shared" si="10"/>
        <v>0</v>
      </c>
      <c r="S41" s="23">
        <f t="shared" si="10"/>
        <v>0</v>
      </c>
      <c r="T41" s="23">
        <f t="shared" si="10"/>
        <v>0</v>
      </c>
      <c r="U41" s="23">
        <f t="shared" si="10"/>
        <v>0</v>
      </c>
      <c r="V41" s="23">
        <f t="shared" si="10"/>
        <v>0</v>
      </c>
      <c r="W41" s="23">
        <f t="shared" si="10"/>
        <v>0</v>
      </c>
      <c r="X41" s="23">
        <f t="shared" si="10"/>
        <v>0</v>
      </c>
      <c r="Y41" s="23">
        <f t="shared" si="10"/>
        <v>0</v>
      </c>
      <c r="Z41" s="23">
        <f t="shared" si="10"/>
        <v>0</v>
      </c>
      <c r="AA41" s="23">
        <f t="shared" si="10"/>
        <v>0</v>
      </c>
      <c r="AB41" s="23">
        <f t="shared" si="10"/>
        <v>0</v>
      </c>
      <c r="AC41" s="23">
        <f t="shared" si="10"/>
        <v>0</v>
      </c>
      <c r="AD41" s="23">
        <f t="shared" si="10"/>
        <v>0</v>
      </c>
      <c r="AE41" s="23">
        <f t="shared" si="10"/>
        <v>0</v>
      </c>
      <c r="AF41" s="23">
        <f t="shared" si="10"/>
        <v>0</v>
      </c>
      <c r="AG41" s="23">
        <f t="shared" si="10"/>
        <v>0</v>
      </c>
      <c r="AH41" s="23">
        <f t="shared" si="10"/>
        <v>0</v>
      </c>
      <c r="AI41" s="23">
        <f t="shared" si="10"/>
        <v>0</v>
      </c>
      <c r="AJ41" s="85">
        <f t="shared" si="10"/>
        <v>0</v>
      </c>
      <c r="AK41" s="23">
        <f t="shared" si="10"/>
        <v>0</v>
      </c>
      <c r="AL41" s="38">
        <f t="shared" si="10"/>
        <v>0</v>
      </c>
      <c r="AM41" s="23">
        <f t="shared" si="10"/>
        <v>0</v>
      </c>
      <c r="AN41" s="23">
        <f t="shared" si="10"/>
        <v>0</v>
      </c>
      <c r="AO41" s="23">
        <f t="shared" si="10"/>
        <v>0</v>
      </c>
      <c r="AP41" s="23">
        <f t="shared" si="10"/>
        <v>0</v>
      </c>
      <c r="AQ41" s="23">
        <f t="shared" si="10"/>
        <v>0</v>
      </c>
      <c r="AR41" s="23">
        <f t="shared" si="10"/>
        <v>0</v>
      </c>
      <c r="AS41" s="23">
        <f t="shared" si="10"/>
        <v>0</v>
      </c>
      <c r="AT41" s="23">
        <f t="shared" si="10"/>
        <v>0</v>
      </c>
      <c r="AU41" s="23">
        <f t="shared" si="10"/>
        <v>0</v>
      </c>
      <c r="AV41" s="38">
        <f t="shared" si="10"/>
        <v>0</v>
      </c>
      <c r="AW41" s="23">
        <f t="shared" si="10"/>
        <v>0</v>
      </c>
      <c r="AX41" s="23">
        <f t="shared" si="10"/>
        <v>0</v>
      </c>
      <c r="AY41" s="23">
        <f t="shared" si="10"/>
        <v>0</v>
      </c>
      <c r="AZ41" s="23">
        <f t="shared" si="10"/>
        <v>0</v>
      </c>
      <c r="BA41" s="23">
        <f t="shared" si="10"/>
        <v>0</v>
      </c>
      <c r="BB41" s="23">
        <f t="shared" si="10"/>
        <v>0</v>
      </c>
      <c r="BC41" s="23">
        <f t="shared" si="10"/>
        <v>0</v>
      </c>
      <c r="BD41" s="23">
        <f t="shared" si="10"/>
        <v>0</v>
      </c>
      <c r="BE41" s="23">
        <f t="shared" si="10"/>
        <v>0</v>
      </c>
      <c r="BF41" s="23">
        <f t="shared" si="10"/>
        <v>0</v>
      </c>
      <c r="BG41" s="23">
        <f t="shared" si="10"/>
        <v>0</v>
      </c>
      <c r="BH41" s="23">
        <f t="shared" si="10"/>
        <v>0</v>
      </c>
    </row>
    <row r="42" spans="2:60" s="39" customFormat="1" x14ac:dyDescent="0.3">
      <c r="C42" s="40"/>
      <c r="D42" s="41"/>
      <c r="E42" s="42" t="s">
        <v>63</v>
      </c>
      <c r="F42" s="43"/>
      <c r="G42" s="44"/>
      <c r="H42" s="15">
        <f>+SUM($H$38:H38)</f>
        <v>0</v>
      </c>
      <c r="I42" s="15">
        <f>+SUM($H$38:I38)</f>
        <v>0</v>
      </c>
      <c r="J42" s="15">
        <f>+SUM($H$38:J38)</f>
        <v>0</v>
      </c>
      <c r="K42" s="15">
        <f>+SUM($H$38:K38)</f>
        <v>0</v>
      </c>
      <c r="L42" s="15">
        <f>+SUM($H$38:L38)</f>
        <v>0</v>
      </c>
      <c r="M42" s="15">
        <f>+SUM($H$38:M38)</f>
        <v>0</v>
      </c>
      <c r="N42" s="15">
        <f>+SUM($H$38:N38)</f>
        <v>0</v>
      </c>
      <c r="O42" s="15">
        <f>+SUM($H$38:O38)</f>
        <v>0</v>
      </c>
      <c r="P42" s="15">
        <f>+SUM($H$38:P38)</f>
        <v>0</v>
      </c>
      <c r="Q42" s="15">
        <f>+SUM($H$38:Q38)</f>
        <v>0</v>
      </c>
      <c r="R42" s="15">
        <f>+SUM($H$38:R38)</f>
        <v>0</v>
      </c>
      <c r="S42" s="15">
        <f>+SUM($H$38:S38)</f>
        <v>0</v>
      </c>
      <c r="T42" s="15">
        <f>+SUM($H$38:T38)</f>
        <v>0</v>
      </c>
      <c r="U42" s="15">
        <f>+SUM($H$38:U38)</f>
        <v>0</v>
      </c>
      <c r="V42" s="15">
        <f>+SUM($H$38:V38)</f>
        <v>0</v>
      </c>
      <c r="W42" s="15">
        <f>+SUM($H$38:W38)</f>
        <v>0</v>
      </c>
      <c r="X42" s="15">
        <f>+SUM($H$38:X38)</f>
        <v>0</v>
      </c>
      <c r="Y42" s="15">
        <f>+SUM($H$38:Y38)</f>
        <v>0</v>
      </c>
      <c r="Z42" s="15">
        <f>+SUM($H$38:Z38)</f>
        <v>0</v>
      </c>
      <c r="AA42" s="15">
        <f>+SUM($H$38:AA38)</f>
        <v>400</v>
      </c>
      <c r="AB42" s="15">
        <f>+SUM($H$38:AB38)</f>
        <v>810</v>
      </c>
      <c r="AC42" s="15">
        <f>+SUM($H$38:AC38)</f>
        <v>1472</v>
      </c>
      <c r="AD42" s="15">
        <f>+SUM($H$38:AD38)</f>
        <v>1970</v>
      </c>
      <c r="AE42" s="15">
        <f>+SUM($H$38:AE38)</f>
        <v>2474</v>
      </c>
      <c r="AF42" s="15">
        <f>+SUM($H$38:AF38)</f>
        <v>3312</v>
      </c>
      <c r="AG42" s="15">
        <f>+SUM($H$38:AG38)</f>
        <v>4188</v>
      </c>
      <c r="AH42" s="15">
        <f>+SUM($H$38:AH38)</f>
        <v>4611</v>
      </c>
      <c r="AI42" s="15">
        <f>+SUM($H$38:AI38)</f>
        <v>5153</v>
      </c>
      <c r="AJ42" s="15">
        <f>+SUM($H$38:AJ38)</f>
        <v>5505</v>
      </c>
      <c r="AK42" s="15">
        <f>+SUM($H$38:AK38)</f>
        <v>5943</v>
      </c>
      <c r="AL42" s="15">
        <f>+SUM($H$38:AL38)</f>
        <v>6459</v>
      </c>
      <c r="AM42" s="15">
        <f>+SUM($H$38:AM38)</f>
        <v>6889</v>
      </c>
      <c r="AN42" s="15">
        <f>+SUM($H$38:AN38)</f>
        <v>7215</v>
      </c>
      <c r="AO42" s="15">
        <f>+SUM($H$38:AO38)</f>
        <v>7593</v>
      </c>
      <c r="AP42" s="15">
        <f>+SUM($H$38:AP38)</f>
        <v>7790</v>
      </c>
      <c r="AQ42" s="15">
        <f>+SUM($H$38:AQ38)</f>
        <v>7971</v>
      </c>
      <c r="AR42" s="15">
        <f>+SUM($H$38:AR38)</f>
        <v>8163</v>
      </c>
      <c r="AS42" s="15">
        <f>+SUM($H$38:AS38)</f>
        <v>8338</v>
      </c>
      <c r="AT42" s="15">
        <f>+SUM($H$38:AT38)</f>
        <v>8451</v>
      </c>
      <c r="AU42" s="15">
        <f>+SUM($H$38:AU38)</f>
        <v>8561</v>
      </c>
      <c r="AV42" s="45">
        <f>+SUM($H$38:AV38)</f>
        <v>8720</v>
      </c>
      <c r="AW42" s="15">
        <f>+SUM($H$38:AW38)</f>
        <v>8814</v>
      </c>
      <c r="AX42" s="15">
        <f>+SUM($H$38:AX38)</f>
        <v>8915</v>
      </c>
      <c r="AY42" s="15">
        <f>+SUM($H$38:AY38)</f>
        <v>8999</v>
      </c>
      <c r="AZ42" s="15">
        <f>+SUM($H$38:AZ38)</f>
        <v>9042</v>
      </c>
      <c r="BA42" s="15">
        <f>+SUM($H$38:BA38)</f>
        <v>9095</v>
      </c>
      <c r="BB42" s="15">
        <f>+SUM($H$38:BB38)</f>
        <v>9150</v>
      </c>
      <c r="BC42" s="15">
        <f>+SUM($H$38:BC38)</f>
        <v>9202</v>
      </c>
      <c r="BD42" s="15">
        <f>+SUM($H$38:BD38)</f>
        <v>9242</v>
      </c>
      <c r="BE42" s="15">
        <f>+SUM($H$38:BE38)</f>
        <v>9286</v>
      </c>
      <c r="BF42" s="15">
        <f>+SUM($H$38:BF38)</f>
        <v>9332</v>
      </c>
      <c r="BG42" s="15">
        <f>+SUM($H$38:BG38)</f>
        <v>9383</v>
      </c>
      <c r="BH42" s="15">
        <f>+SUM($H$38:BH38)</f>
        <v>9400</v>
      </c>
    </row>
    <row r="43" spans="2:60" x14ac:dyDescent="0.3">
      <c r="C43" s="40"/>
      <c r="D43" s="41"/>
      <c r="E43" s="46"/>
      <c r="F43" s="47"/>
      <c r="G43" s="48"/>
      <c r="H43" s="21">
        <f>+SUM($H$39:H39)</f>
        <v>0</v>
      </c>
      <c r="I43" s="21">
        <f>+SUM($H$39:I39)</f>
        <v>0</v>
      </c>
      <c r="J43" s="21">
        <f>+SUM($H$39:J39)</f>
        <v>0</v>
      </c>
      <c r="K43" s="21">
        <f>+SUM($H$39:K39)</f>
        <v>0</v>
      </c>
      <c r="L43" s="21">
        <f>+SUM($H$39:L39)</f>
        <v>0</v>
      </c>
      <c r="M43" s="21">
        <f>+SUM($H$39:M39)</f>
        <v>0</v>
      </c>
      <c r="N43" s="21">
        <f>+SUM($H$39:N39)</f>
        <v>0</v>
      </c>
      <c r="O43" s="21">
        <f>+SUM($H$39:O39)</f>
        <v>0</v>
      </c>
      <c r="P43" s="21">
        <f>+SUM($H$39:P39)</f>
        <v>0</v>
      </c>
      <c r="Q43" s="21">
        <f>+SUM($H$39:Q39)</f>
        <v>0</v>
      </c>
      <c r="R43" s="21">
        <f>+SUM($H$39:R39)</f>
        <v>0</v>
      </c>
      <c r="S43" s="21">
        <f>+SUM($H$39:S39)</f>
        <v>0</v>
      </c>
      <c r="T43" s="21">
        <f>+SUM($H$39:T39)</f>
        <v>0</v>
      </c>
      <c r="U43" s="21">
        <f>+SUM($H$39:U39)</f>
        <v>0</v>
      </c>
      <c r="V43" s="21">
        <f>+SUM($H$39:V39)</f>
        <v>0</v>
      </c>
      <c r="W43" s="21">
        <f>+SUM($H$39:W39)</f>
        <v>0</v>
      </c>
      <c r="X43" s="21">
        <f>+SUM($H$39:X39)</f>
        <v>0</v>
      </c>
      <c r="Y43" s="21">
        <f>+SUM($H$39:Y39)</f>
        <v>0</v>
      </c>
      <c r="Z43" s="21">
        <f>+SUM($H$39:Z39)</f>
        <v>0</v>
      </c>
      <c r="AA43" s="21">
        <f>+SUM($H$39:AA39)</f>
        <v>0</v>
      </c>
      <c r="AB43" s="21">
        <f>+SUM($H$39:AB39)</f>
        <v>0</v>
      </c>
      <c r="AC43" s="21">
        <f>+SUM($H$39:AC39)</f>
        <v>0</v>
      </c>
      <c r="AD43" s="21">
        <f>+SUM($H$39:AD39)</f>
        <v>0</v>
      </c>
      <c r="AE43" s="21">
        <f>+SUM($H$39:AE39)</f>
        <v>0</v>
      </c>
      <c r="AF43" s="21">
        <f>+SUM($H$39:AF39)</f>
        <v>0</v>
      </c>
      <c r="AG43" s="21">
        <f>+SUM($H$39:AG39)</f>
        <v>0</v>
      </c>
      <c r="AH43" s="21">
        <f>+SUM($H$39:AH39)</f>
        <v>0</v>
      </c>
      <c r="AI43" s="21">
        <f>+SUM($H$39:AI39)</f>
        <v>0</v>
      </c>
      <c r="AJ43" s="21">
        <f>+SUM($H$39:AJ39)</f>
        <v>0</v>
      </c>
      <c r="AK43" s="21">
        <f>+SUM($H$39:AK39)</f>
        <v>0</v>
      </c>
      <c r="AL43" s="21">
        <f>+SUM($H$39:AL39)</f>
        <v>0</v>
      </c>
      <c r="AM43" s="21">
        <f>+SUM($H$39:AM39)</f>
        <v>0</v>
      </c>
      <c r="AN43" s="21">
        <f>+SUM($H$39:AN39)</f>
        <v>0</v>
      </c>
      <c r="AO43" s="21">
        <f>+SUM($H$39:AO39)</f>
        <v>0</v>
      </c>
      <c r="AP43" s="21">
        <f>+SUM($H$39:AP39)</f>
        <v>0</v>
      </c>
      <c r="AQ43" s="21">
        <f>+SUM($H$39:AQ39)</f>
        <v>0</v>
      </c>
      <c r="AR43" s="21">
        <f>+SUM($H$39:AR39)</f>
        <v>0</v>
      </c>
      <c r="AS43" s="21">
        <f>+SUM($H$39:AS39)</f>
        <v>0</v>
      </c>
      <c r="AT43" s="21">
        <f>+SUM($H$39:AT39)</f>
        <v>0</v>
      </c>
      <c r="AU43" s="21">
        <f>+SUM($H$39:AU39)</f>
        <v>0</v>
      </c>
      <c r="AV43" s="49">
        <f>+SUM($H$39:AV39)</f>
        <v>0</v>
      </c>
      <c r="AW43" s="21">
        <f>+SUM($H$39:AW39)</f>
        <v>0</v>
      </c>
      <c r="AX43" s="21">
        <f>+SUM($H$39:AX39)</f>
        <v>0</v>
      </c>
      <c r="AY43" s="21">
        <f>+SUM($H$39:AY39)</f>
        <v>0</v>
      </c>
      <c r="AZ43" s="21">
        <f>+SUM($H$39:AZ39)</f>
        <v>0</v>
      </c>
      <c r="BA43" s="21">
        <f>+SUM($H$39:BA39)</f>
        <v>0</v>
      </c>
      <c r="BB43" s="21">
        <f>+SUM($H$39:BB39)</f>
        <v>0</v>
      </c>
      <c r="BC43" s="21">
        <f>+SUM($H$39:BC39)</f>
        <v>0</v>
      </c>
      <c r="BD43" s="21">
        <f>+SUM($H$39:BD39)</f>
        <v>0</v>
      </c>
      <c r="BE43" s="21">
        <f>+SUM($H$39:BE39)</f>
        <v>0</v>
      </c>
      <c r="BF43" s="21">
        <f>+SUM($H$39:BF39)</f>
        <v>0</v>
      </c>
      <c r="BG43" s="21">
        <f>+SUM($H$39:BG39)</f>
        <v>0</v>
      </c>
      <c r="BH43" s="21">
        <f>+SUM($H$39:BH39)</f>
        <v>0</v>
      </c>
    </row>
    <row r="44" spans="2:60" x14ac:dyDescent="0.3">
      <c r="C44" s="40"/>
      <c r="D44" s="41"/>
      <c r="E44" s="50" t="s">
        <v>64</v>
      </c>
      <c r="F44" s="51"/>
      <c r="G44" s="52"/>
      <c r="H44" s="53">
        <f>+IF(H42=0,0,$E38-H42)</f>
        <v>0</v>
      </c>
      <c r="I44" s="53">
        <f t="shared" ref="I44:BH45" si="11">+IF(I42=0,0,$E38-I42)</f>
        <v>0</v>
      </c>
      <c r="J44" s="53">
        <f t="shared" si="11"/>
        <v>0</v>
      </c>
      <c r="K44" s="53">
        <f t="shared" si="11"/>
        <v>0</v>
      </c>
      <c r="L44" s="53">
        <f t="shared" si="11"/>
        <v>0</v>
      </c>
      <c r="M44" s="53">
        <f t="shared" si="11"/>
        <v>0</v>
      </c>
      <c r="N44" s="53">
        <f t="shared" si="11"/>
        <v>0</v>
      </c>
      <c r="O44" s="53">
        <f t="shared" si="11"/>
        <v>0</v>
      </c>
      <c r="P44" s="53">
        <f t="shared" si="11"/>
        <v>0</v>
      </c>
      <c r="Q44" s="53">
        <f t="shared" si="11"/>
        <v>0</v>
      </c>
      <c r="R44" s="53">
        <f t="shared" si="11"/>
        <v>0</v>
      </c>
      <c r="S44" s="53">
        <f t="shared" si="11"/>
        <v>0</v>
      </c>
      <c r="T44" s="53">
        <f t="shared" si="11"/>
        <v>0</v>
      </c>
      <c r="U44" s="53">
        <f t="shared" si="11"/>
        <v>0</v>
      </c>
      <c r="V44" s="53">
        <f t="shared" si="11"/>
        <v>0</v>
      </c>
      <c r="W44" s="53">
        <f t="shared" si="11"/>
        <v>0</v>
      </c>
      <c r="X44" s="53">
        <f t="shared" si="11"/>
        <v>0</v>
      </c>
      <c r="Y44" s="53">
        <f t="shared" si="11"/>
        <v>0</v>
      </c>
      <c r="Z44" s="53">
        <f t="shared" si="11"/>
        <v>0</v>
      </c>
      <c r="AA44" s="53">
        <f t="shared" si="11"/>
        <v>2600</v>
      </c>
      <c r="AB44" s="53">
        <f t="shared" si="11"/>
        <v>2190</v>
      </c>
      <c r="AC44" s="53">
        <f t="shared" si="11"/>
        <v>1528</v>
      </c>
      <c r="AD44" s="53">
        <f t="shared" si="11"/>
        <v>1030</v>
      </c>
      <c r="AE44" s="53">
        <f t="shared" si="11"/>
        <v>526</v>
      </c>
      <c r="AF44" s="53">
        <f t="shared" si="11"/>
        <v>-312</v>
      </c>
      <c r="AG44" s="53">
        <f t="shared" si="11"/>
        <v>-1188</v>
      </c>
      <c r="AH44" s="53">
        <f t="shared" si="11"/>
        <v>-1611</v>
      </c>
      <c r="AI44" s="53">
        <f t="shared" si="11"/>
        <v>-2153</v>
      </c>
      <c r="AJ44" s="82">
        <f t="shared" si="11"/>
        <v>-2505</v>
      </c>
      <c r="AK44" s="53">
        <f t="shared" si="11"/>
        <v>-2943</v>
      </c>
      <c r="AL44" s="54">
        <f t="shared" si="11"/>
        <v>-3459</v>
      </c>
      <c r="AM44" s="53">
        <f t="shared" si="11"/>
        <v>-3889</v>
      </c>
      <c r="AN44" s="53">
        <f t="shared" si="11"/>
        <v>-4215</v>
      </c>
      <c r="AO44" s="53">
        <f t="shared" si="11"/>
        <v>-4593</v>
      </c>
      <c r="AP44" s="53">
        <f t="shared" si="11"/>
        <v>-4790</v>
      </c>
      <c r="AQ44" s="53">
        <f t="shared" si="11"/>
        <v>-4971</v>
      </c>
      <c r="AR44" s="53">
        <f t="shared" si="11"/>
        <v>-5163</v>
      </c>
      <c r="AS44" s="53">
        <f t="shared" si="11"/>
        <v>-5338</v>
      </c>
      <c r="AT44" s="53">
        <f t="shared" si="11"/>
        <v>-5451</v>
      </c>
      <c r="AU44" s="53">
        <f t="shared" si="11"/>
        <v>-5561</v>
      </c>
      <c r="AV44" s="54">
        <f t="shared" si="11"/>
        <v>-5720</v>
      </c>
      <c r="AW44" s="53">
        <f t="shared" si="11"/>
        <v>-5814</v>
      </c>
      <c r="AX44" s="53">
        <f t="shared" si="11"/>
        <v>-5915</v>
      </c>
      <c r="AY44" s="53">
        <f t="shared" si="11"/>
        <v>-5999</v>
      </c>
      <c r="AZ44" s="53">
        <f t="shared" si="11"/>
        <v>-6042</v>
      </c>
      <c r="BA44" s="53">
        <f t="shared" si="11"/>
        <v>-6095</v>
      </c>
      <c r="BB44" s="53">
        <f t="shared" si="11"/>
        <v>-6150</v>
      </c>
      <c r="BC44" s="53">
        <f t="shared" si="11"/>
        <v>-6202</v>
      </c>
      <c r="BD44" s="53">
        <f t="shared" si="11"/>
        <v>-6242</v>
      </c>
      <c r="BE44" s="53">
        <f t="shared" si="11"/>
        <v>-6286</v>
      </c>
      <c r="BF44" s="53">
        <f t="shared" si="11"/>
        <v>-6332</v>
      </c>
      <c r="BG44" s="53">
        <f t="shared" si="11"/>
        <v>-6383</v>
      </c>
      <c r="BH44" s="53">
        <f t="shared" si="11"/>
        <v>-6400</v>
      </c>
    </row>
    <row r="45" spans="2:60" x14ac:dyDescent="0.3">
      <c r="C45" s="60"/>
      <c r="D45" s="61"/>
      <c r="E45" s="55"/>
      <c r="F45" s="56"/>
      <c r="G45" s="57"/>
      <c r="H45" s="58">
        <f>+IF(H43=0,0,$E39-H43)</f>
        <v>0</v>
      </c>
      <c r="I45" s="58">
        <f t="shared" si="11"/>
        <v>0</v>
      </c>
      <c r="J45" s="58">
        <f t="shared" si="11"/>
        <v>0</v>
      </c>
      <c r="K45" s="58">
        <f t="shared" si="11"/>
        <v>0</v>
      </c>
      <c r="L45" s="58">
        <f t="shared" si="11"/>
        <v>0</v>
      </c>
      <c r="M45" s="58">
        <f t="shared" si="11"/>
        <v>0</v>
      </c>
      <c r="N45" s="58">
        <f t="shared" si="11"/>
        <v>0</v>
      </c>
      <c r="O45" s="58">
        <f t="shared" si="11"/>
        <v>0</v>
      </c>
      <c r="P45" s="58">
        <f t="shared" si="11"/>
        <v>0</v>
      </c>
      <c r="Q45" s="58">
        <f t="shared" si="11"/>
        <v>0</v>
      </c>
      <c r="R45" s="58">
        <f t="shared" si="11"/>
        <v>0</v>
      </c>
      <c r="S45" s="58">
        <f t="shared" si="11"/>
        <v>0</v>
      </c>
      <c r="T45" s="58">
        <f t="shared" si="11"/>
        <v>0</v>
      </c>
      <c r="U45" s="58">
        <f t="shared" si="11"/>
        <v>0</v>
      </c>
      <c r="V45" s="58">
        <f t="shared" si="11"/>
        <v>0</v>
      </c>
      <c r="W45" s="58">
        <f t="shared" si="11"/>
        <v>0</v>
      </c>
      <c r="X45" s="58">
        <f t="shared" si="11"/>
        <v>0</v>
      </c>
      <c r="Y45" s="58">
        <f t="shared" si="11"/>
        <v>0</v>
      </c>
      <c r="Z45" s="58">
        <f t="shared" si="11"/>
        <v>0</v>
      </c>
      <c r="AA45" s="58">
        <f t="shared" si="11"/>
        <v>0</v>
      </c>
      <c r="AB45" s="58">
        <f t="shared" si="11"/>
        <v>0</v>
      </c>
      <c r="AC45" s="58">
        <f t="shared" si="11"/>
        <v>0</v>
      </c>
      <c r="AD45" s="58">
        <f t="shared" si="11"/>
        <v>0</v>
      </c>
      <c r="AE45" s="58">
        <f t="shared" si="11"/>
        <v>0</v>
      </c>
      <c r="AF45" s="58">
        <f t="shared" si="11"/>
        <v>0</v>
      </c>
      <c r="AG45" s="58">
        <f t="shared" si="11"/>
        <v>0</v>
      </c>
      <c r="AH45" s="58">
        <f t="shared" si="11"/>
        <v>0</v>
      </c>
      <c r="AI45" s="58">
        <f t="shared" si="11"/>
        <v>0</v>
      </c>
      <c r="AJ45" s="88">
        <f t="shared" si="11"/>
        <v>0</v>
      </c>
      <c r="AK45" s="58">
        <f t="shared" si="11"/>
        <v>0</v>
      </c>
      <c r="AL45" s="59">
        <f t="shared" si="11"/>
        <v>0</v>
      </c>
      <c r="AM45" s="58">
        <f t="shared" si="11"/>
        <v>0</v>
      </c>
      <c r="AN45" s="58">
        <f t="shared" si="11"/>
        <v>0</v>
      </c>
      <c r="AO45" s="58">
        <f t="shared" si="11"/>
        <v>0</v>
      </c>
      <c r="AP45" s="58">
        <f t="shared" si="11"/>
        <v>0</v>
      </c>
      <c r="AQ45" s="58">
        <f t="shared" si="11"/>
        <v>0</v>
      </c>
      <c r="AR45" s="58">
        <f t="shared" si="11"/>
        <v>0</v>
      </c>
      <c r="AS45" s="58">
        <f t="shared" si="11"/>
        <v>0</v>
      </c>
      <c r="AT45" s="58">
        <f t="shared" si="11"/>
        <v>0</v>
      </c>
      <c r="AU45" s="58">
        <f t="shared" si="11"/>
        <v>0</v>
      </c>
      <c r="AV45" s="59">
        <f t="shared" si="11"/>
        <v>0</v>
      </c>
      <c r="AW45" s="58">
        <f t="shared" si="11"/>
        <v>0</v>
      </c>
      <c r="AX45" s="58">
        <f t="shared" si="11"/>
        <v>0</v>
      </c>
      <c r="AY45" s="58">
        <f t="shared" si="11"/>
        <v>0</v>
      </c>
      <c r="AZ45" s="58">
        <f t="shared" si="11"/>
        <v>0</v>
      </c>
      <c r="BA45" s="58">
        <f t="shared" si="11"/>
        <v>0</v>
      </c>
      <c r="BB45" s="58">
        <f t="shared" si="11"/>
        <v>0</v>
      </c>
      <c r="BC45" s="58">
        <f t="shared" si="11"/>
        <v>0</v>
      </c>
      <c r="BD45" s="58">
        <f t="shared" si="11"/>
        <v>0</v>
      </c>
      <c r="BE45" s="58">
        <f t="shared" si="11"/>
        <v>0</v>
      </c>
      <c r="BF45" s="58">
        <f t="shared" si="11"/>
        <v>0</v>
      </c>
      <c r="BG45" s="58">
        <f t="shared" si="11"/>
        <v>0</v>
      </c>
      <c r="BH45" s="58">
        <f t="shared" si="11"/>
        <v>0</v>
      </c>
    </row>
    <row r="46" spans="2:60" x14ac:dyDescent="0.3">
      <c r="C46" s="40"/>
      <c r="D46" s="41"/>
      <c r="E46" s="89" t="s">
        <v>5</v>
      </c>
      <c r="F46" s="90"/>
      <c r="H46" s="17">
        <f>IFERROR(H42/$E38,)</f>
        <v>0</v>
      </c>
      <c r="I46" s="17">
        <f t="shared" ref="I46:BH47" si="12">IFERROR(I42/$E38,)</f>
        <v>0</v>
      </c>
      <c r="J46" s="17">
        <f t="shared" si="12"/>
        <v>0</v>
      </c>
      <c r="K46" s="17">
        <f t="shared" si="12"/>
        <v>0</v>
      </c>
      <c r="L46" s="17">
        <f t="shared" si="12"/>
        <v>0</v>
      </c>
      <c r="M46" s="17">
        <f t="shared" si="12"/>
        <v>0</v>
      </c>
      <c r="N46" s="17">
        <f t="shared" si="12"/>
        <v>0</v>
      </c>
      <c r="O46" s="17">
        <f t="shared" si="12"/>
        <v>0</v>
      </c>
      <c r="P46" s="17">
        <f t="shared" si="12"/>
        <v>0</v>
      </c>
      <c r="Q46" s="17">
        <f t="shared" si="12"/>
        <v>0</v>
      </c>
      <c r="R46" s="17">
        <f t="shared" si="12"/>
        <v>0</v>
      </c>
      <c r="S46" s="17">
        <f t="shared" si="12"/>
        <v>0</v>
      </c>
      <c r="T46" s="17">
        <f t="shared" si="12"/>
        <v>0</v>
      </c>
      <c r="U46" s="17">
        <f t="shared" si="12"/>
        <v>0</v>
      </c>
      <c r="V46" s="17">
        <f t="shared" si="12"/>
        <v>0</v>
      </c>
      <c r="W46" s="17">
        <f t="shared" si="12"/>
        <v>0</v>
      </c>
      <c r="X46" s="17">
        <f t="shared" si="12"/>
        <v>0</v>
      </c>
      <c r="Y46" s="17">
        <f t="shared" si="12"/>
        <v>0</v>
      </c>
      <c r="Z46" s="17">
        <f t="shared" si="12"/>
        <v>0</v>
      </c>
      <c r="AA46" s="17">
        <f t="shared" si="12"/>
        <v>0.13333333333333333</v>
      </c>
      <c r="AB46" s="17">
        <f t="shared" si="12"/>
        <v>0.27</v>
      </c>
      <c r="AC46" s="17">
        <f t="shared" si="12"/>
        <v>0.49066666666666664</v>
      </c>
      <c r="AD46" s="17">
        <f t="shared" si="12"/>
        <v>0.65666666666666662</v>
      </c>
      <c r="AE46" s="17">
        <f t="shared" si="12"/>
        <v>0.82466666666666666</v>
      </c>
      <c r="AF46" s="17">
        <f t="shared" si="12"/>
        <v>1.1040000000000001</v>
      </c>
      <c r="AG46" s="17">
        <f t="shared" si="12"/>
        <v>1.3959999999999999</v>
      </c>
      <c r="AH46" s="17">
        <f t="shared" si="12"/>
        <v>1.5369999999999999</v>
      </c>
      <c r="AI46" s="17">
        <f t="shared" si="12"/>
        <v>1.7176666666666667</v>
      </c>
      <c r="AJ46" s="84">
        <f t="shared" si="12"/>
        <v>1.835</v>
      </c>
      <c r="AK46" s="91">
        <f t="shared" si="12"/>
        <v>1.9810000000000001</v>
      </c>
      <c r="AL46" s="32">
        <f t="shared" si="12"/>
        <v>2.153</v>
      </c>
      <c r="AM46" s="17">
        <f t="shared" si="12"/>
        <v>2.2963333333333331</v>
      </c>
      <c r="AN46" s="17">
        <f t="shared" si="12"/>
        <v>2.4049999999999998</v>
      </c>
      <c r="AO46" s="17">
        <f t="shared" si="12"/>
        <v>2.5310000000000001</v>
      </c>
      <c r="AP46" s="17">
        <f t="shared" si="12"/>
        <v>2.5966666666666667</v>
      </c>
      <c r="AQ46" s="17">
        <f t="shared" si="12"/>
        <v>2.657</v>
      </c>
      <c r="AR46" s="17">
        <f t="shared" si="12"/>
        <v>2.7210000000000001</v>
      </c>
      <c r="AS46" s="17">
        <f t="shared" si="12"/>
        <v>2.7793333333333332</v>
      </c>
      <c r="AT46" s="17">
        <f t="shared" si="12"/>
        <v>2.8170000000000002</v>
      </c>
      <c r="AU46" s="17">
        <f t="shared" si="12"/>
        <v>2.8536666666666668</v>
      </c>
      <c r="AV46" s="32">
        <f t="shared" si="12"/>
        <v>2.9066666666666667</v>
      </c>
      <c r="AW46" s="17">
        <f t="shared" si="12"/>
        <v>2.9380000000000002</v>
      </c>
      <c r="AX46" s="17">
        <f t="shared" si="12"/>
        <v>2.9716666666666667</v>
      </c>
      <c r="AY46" s="17">
        <f t="shared" si="12"/>
        <v>2.9996666666666667</v>
      </c>
      <c r="AZ46" s="17">
        <f t="shared" si="12"/>
        <v>3.0139999999999998</v>
      </c>
      <c r="BA46" s="17">
        <f t="shared" si="12"/>
        <v>3.0316666666666667</v>
      </c>
      <c r="BB46" s="17">
        <f t="shared" si="12"/>
        <v>3.05</v>
      </c>
      <c r="BC46" s="17">
        <f t="shared" si="12"/>
        <v>3.0673333333333335</v>
      </c>
      <c r="BD46" s="17">
        <f t="shared" si="12"/>
        <v>3.0806666666666667</v>
      </c>
      <c r="BE46" s="17">
        <f t="shared" si="12"/>
        <v>3.0953333333333335</v>
      </c>
      <c r="BF46" s="17">
        <f t="shared" si="12"/>
        <v>3.1106666666666665</v>
      </c>
      <c r="BG46" s="17">
        <f t="shared" si="12"/>
        <v>3.1276666666666668</v>
      </c>
      <c r="BH46" s="17">
        <f t="shared" si="12"/>
        <v>3.1333333333333333</v>
      </c>
    </row>
    <row r="47" spans="2:60" x14ac:dyDescent="0.3">
      <c r="C47" s="60"/>
      <c r="D47" s="61"/>
      <c r="E47" s="92"/>
      <c r="F47" s="93"/>
      <c r="G47" s="94"/>
      <c r="H47" s="23">
        <f>IFERROR(H43/$E39,)</f>
        <v>0</v>
      </c>
      <c r="I47" s="23">
        <f t="shared" si="12"/>
        <v>0</v>
      </c>
      <c r="J47" s="23">
        <f t="shared" si="12"/>
        <v>0</v>
      </c>
      <c r="K47" s="23">
        <f t="shared" si="12"/>
        <v>0</v>
      </c>
      <c r="L47" s="23">
        <f t="shared" si="12"/>
        <v>0</v>
      </c>
      <c r="M47" s="23">
        <f t="shared" si="12"/>
        <v>0</v>
      </c>
      <c r="N47" s="23">
        <f t="shared" si="12"/>
        <v>0</v>
      </c>
      <c r="O47" s="23">
        <f t="shared" si="12"/>
        <v>0</v>
      </c>
      <c r="P47" s="23">
        <f t="shared" si="12"/>
        <v>0</v>
      </c>
      <c r="Q47" s="23">
        <f t="shared" si="12"/>
        <v>0</v>
      </c>
      <c r="R47" s="23">
        <f t="shared" si="12"/>
        <v>0</v>
      </c>
      <c r="S47" s="23">
        <f t="shared" si="12"/>
        <v>0</v>
      </c>
      <c r="T47" s="23">
        <f t="shared" si="12"/>
        <v>0</v>
      </c>
      <c r="U47" s="23">
        <f t="shared" si="12"/>
        <v>0</v>
      </c>
      <c r="V47" s="23">
        <f t="shared" si="12"/>
        <v>0</v>
      </c>
      <c r="W47" s="23">
        <f t="shared" si="12"/>
        <v>0</v>
      </c>
      <c r="X47" s="23">
        <f t="shared" si="12"/>
        <v>0</v>
      </c>
      <c r="Y47" s="23">
        <f t="shared" si="12"/>
        <v>0</v>
      </c>
      <c r="Z47" s="23">
        <f t="shared" si="12"/>
        <v>0</v>
      </c>
      <c r="AA47" s="23">
        <f t="shared" si="12"/>
        <v>0</v>
      </c>
      <c r="AB47" s="23">
        <f t="shared" si="12"/>
        <v>0</v>
      </c>
      <c r="AC47" s="23">
        <f t="shared" si="12"/>
        <v>0</v>
      </c>
      <c r="AD47" s="23">
        <f t="shared" si="12"/>
        <v>0</v>
      </c>
      <c r="AE47" s="23">
        <f t="shared" si="12"/>
        <v>0</v>
      </c>
      <c r="AF47" s="23">
        <f t="shared" si="12"/>
        <v>0</v>
      </c>
      <c r="AG47" s="23">
        <f t="shared" si="12"/>
        <v>0</v>
      </c>
      <c r="AH47" s="23">
        <f t="shared" si="12"/>
        <v>0</v>
      </c>
      <c r="AI47" s="23">
        <f t="shared" si="12"/>
        <v>0</v>
      </c>
      <c r="AJ47" s="85">
        <f t="shared" si="12"/>
        <v>0</v>
      </c>
      <c r="AK47" s="23">
        <f t="shared" si="12"/>
        <v>0</v>
      </c>
      <c r="AL47" s="38">
        <f t="shared" si="12"/>
        <v>0</v>
      </c>
      <c r="AM47" s="23">
        <f t="shared" si="12"/>
        <v>0</v>
      </c>
      <c r="AN47" s="23">
        <f t="shared" si="12"/>
        <v>0</v>
      </c>
      <c r="AO47" s="23">
        <f t="shared" si="12"/>
        <v>0</v>
      </c>
      <c r="AP47" s="23">
        <f t="shared" si="12"/>
        <v>0</v>
      </c>
      <c r="AQ47" s="23">
        <f t="shared" si="12"/>
        <v>0</v>
      </c>
      <c r="AR47" s="23">
        <f t="shared" si="12"/>
        <v>0</v>
      </c>
      <c r="AS47" s="23">
        <f t="shared" si="12"/>
        <v>0</v>
      </c>
      <c r="AT47" s="23">
        <f t="shared" si="12"/>
        <v>0</v>
      </c>
      <c r="AU47" s="23">
        <f t="shared" si="12"/>
        <v>0</v>
      </c>
      <c r="AV47" s="38">
        <f t="shared" si="12"/>
        <v>0</v>
      </c>
      <c r="AW47" s="23">
        <f t="shared" si="12"/>
        <v>0</v>
      </c>
      <c r="AX47" s="23">
        <f t="shared" si="12"/>
        <v>0</v>
      </c>
      <c r="AY47" s="23">
        <f t="shared" si="12"/>
        <v>0</v>
      </c>
      <c r="AZ47" s="23">
        <f t="shared" si="12"/>
        <v>0</v>
      </c>
      <c r="BA47" s="23">
        <f t="shared" si="12"/>
        <v>0</v>
      </c>
      <c r="BB47" s="23">
        <f t="shared" si="12"/>
        <v>0</v>
      </c>
      <c r="BC47" s="23">
        <f t="shared" si="12"/>
        <v>0</v>
      </c>
      <c r="BD47" s="23">
        <f t="shared" si="12"/>
        <v>0</v>
      </c>
      <c r="BE47" s="23">
        <f t="shared" si="12"/>
        <v>0</v>
      </c>
      <c r="BF47" s="23">
        <f t="shared" si="12"/>
        <v>0</v>
      </c>
      <c r="BG47" s="23">
        <f t="shared" si="12"/>
        <v>0</v>
      </c>
      <c r="BH47" s="23">
        <f t="shared" si="12"/>
        <v>0</v>
      </c>
    </row>
    <row r="49" spans="2:60" x14ac:dyDescent="0.3">
      <c r="F49" t="s">
        <v>5</v>
      </c>
      <c r="G49" s="68">
        <v>0.5</v>
      </c>
      <c r="AA49" t="s">
        <v>66</v>
      </c>
    </row>
    <row r="50" spans="2:60" x14ac:dyDescent="0.3">
      <c r="C50" s="69" t="s">
        <v>71</v>
      </c>
      <c r="F50" s="70"/>
      <c r="G50" s="71" cm="1">
        <f t="array" ref="G50">IFERROR(
IF(INDEX($H$22:$BH$22,MATCH(TRUE,$H56:$BH56&gt;=($E$24*$G$21),0))&gt;=$AP$22,"X",INDEX($H$22:$BH$22,,MATCH(TRUE,$H56:$BH56&gt;=($E$24*$G$21),0))),"X")</f>
        <v>46117</v>
      </c>
      <c r="H50" s="72">
        <v>46026</v>
      </c>
      <c r="I50" s="72">
        <v>46033</v>
      </c>
      <c r="J50" s="72">
        <v>46040</v>
      </c>
      <c r="K50" s="72">
        <v>46047</v>
      </c>
      <c r="L50" s="72">
        <v>46054</v>
      </c>
      <c r="M50" s="72">
        <v>46061</v>
      </c>
      <c r="N50" s="72">
        <v>46068</v>
      </c>
      <c r="O50" s="72">
        <v>46075</v>
      </c>
      <c r="P50" s="72">
        <v>46082</v>
      </c>
      <c r="Q50" s="72">
        <v>46089</v>
      </c>
      <c r="R50" s="72">
        <v>46096</v>
      </c>
      <c r="S50" s="72">
        <v>46103</v>
      </c>
      <c r="T50" s="72">
        <v>46110</v>
      </c>
      <c r="U50" s="72">
        <v>46117</v>
      </c>
      <c r="V50" s="72">
        <v>46124</v>
      </c>
      <c r="W50" s="72">
        <v>46131</v>
      </c>
      <c r="X50" s="72">
        <v>46138</v>
      </c>
      <c r="Y50" s="72">
        <v>46145</v>
      </c>
      <c r="Z50" s="72">
        <v>46152</v>
      </c>
      <c r="AA50" s="72">
        <v>46159</v>
      </c>
      <c r="AB50" s="72">
        <v>46166</v>
      </c>
      <c r="AC50" s="72">
        <v>46173</v>
      </c>
      <c r="AD50" s="72">
        <v>46180</v>
      </c>
      <c r="AE50" s="72">
        <v>46187</v>
      </c>
      <c r="AF50" s="72">
        <v>46194</v>
      </c>
      <c r="AG50" s="72">
        <v>46201</v>
      </c>
      <c r="AH50" s="72">
        <v>46208</v>
      </c>
      <c r="AI50" s="72">
        <v>46215</v>
      </c>
      <c r="AJ50" s="73">
        <v>46222</v>
      </c>
      <c r="AK50" s="72">
        <v>46229</v>
      </c>
      <c r="AL50" s="74">
        <v>46236</v>
      </c>
      <c r="AM50" s="72">
        <v>46243</v>
      </c>
      <c r="AN50" s="72">
        <v>46250</v>
      </c>
      <c r="AO50" s="72">
        <v>46257</v>
      </c>
      <c r="AP50" s="72">
        <v>46264</v>
      </c>
      <c r="AQ50" s="72">
        <v>46271</v>
      </c>
      <c r="AR50" s="72">
        <v>46278</v>
      </c>
      <c r="AS50" s="72">
        <v>46285</v>
      </c>
      <c r="AT50" s="72">
        <v>46292</v>
      </c>
      <c r="AU50" s="72">
        <v>46299</v>
      </c>
      <c r="AV50" s="75">
        <f t="shared" ref="AV50:BG50" si="13">AU50+7</f>
        <v>46306</v>
      </c>
      <c r="AW50" s="76">
        <f t="shared" si="13"/>
        <v>46313</v>
      </c>
      <c r="AX50" s="76">
        <f t="shared" si="13"/>
        <v>46320</v>
      </c>
      <c r="AY50" s="76">
        <f t="shared" si="13"/>
        <v>46327</v>
      </c>
      <c r="AZ50" s="76">
        <f t="shared" si="13"/>
        <v>46334</v>
      </c>
      <c r="BA50" s="76">
        <f t="shared" si="13"/>
        <v>46341</v>
      </c>
      <c r="BB50" s="76">
        <f t="shared" si="13"/>
        <v>46348</v>
      </c>
      <c r="BC50" s="76">
        <f t="shared" si="13"/>
        <v>46355</v>
      </c>
      <c r="BD50" s="76">
        <f t="shared" si="13"/>
        <v>46362</v>
      </c>
      <c r="BE50" s="76">
        <f t="shared" si="13"/>
        <v>46369</v>
      </c>
      <c r="BF50" s="76">
        <f t="shared" si="13"/>
        <v>46376</v>
      </c>
      <c r="BG50" s="76">
        <f t="shared" si="13"/>
        <v>46383</v>
      </c>
      <c r="BH50" s="76">
        <v>46387</v>
      </c>
    </row>
    <row r="51" spans="2:60" x14ac:dyDescent="0.3">
      <c r="C51" s="12" t="s">
        <v>1</v>
      </c>
      <c r="D51" s="12" t="s">
        <v>2</v>
      </c>
      <c r="E51" s="77" t="s">
        <v>3</v>
      </c>
      <c r="F51" s="77" t="s">
        <v>0</v>
      </c>
      <c r="G51" s="77" t="s">
        <v>5</v>
      </c>
      <c r="H51" s="12" t="s">
        <v>6</v>
      </c>
      <c r="I51" s="12" t="s">
        <v>7</v>
      </c>
      <c r="J51" s="12" t="s">
        <v>8</v>
      </c>
      <c r="K51" s="12" t="s">
        <v>9</v>
      </c>
      <c r="L51" s="12" t="s">
        <v>10</v>
      </c>
      <c r="M51" s="12" t="s">
        <v>11</v>
      </c>
      <c r="N51" s="12" t="s">
        <v>12</v>
      </c>
      <c r="O51" s="12" t="s">
        <v>13</v>
      </c>
      <c r="P51" s="12" t="s">
        <v>14</v>
      </c>
      <c r="Q51" s="12" t="s">
        <v>15</v>
      </c>
      <c r="R51" s="12" t="s">
        <v>16</v>
      </c>
      <c r="S51" s="12" t="s">
        <v>17</v>
      </c>
      <c r="T51" s="12" t="s">
        <v>18</v>
      </c>
      <c r="U51" s="12" t="s">
        <v>19</v>
      </c>
      <c r="V51" s="12" t="s">
        <v>20</v>
      </c>
      <c r="W51" s="12" t="s">
        <v>21</v>
      </c>
      <c r="X51" s="12" t="s">
        <v>22</v>
      </c>
      <c r="Y51" s="12" t="s">
        <v>23</v>
      </c>
      <c r="Z51" s="12" t="s">
        <v>24</v>
      </c>
      <c r="AA51" s="12" t="s">
        <v>25</v>
      </c>
      <c r="AB51" s="12" t="s">
        <v>26</v>
      </c>
      <c r="AC51" s="12" t="s">
        <v>27</v>
      </c>
      <c r="AD51" s="12" t="s">
        <v>28</v>
      </c>
      <c r="AE51" s="12" t="s">
        <v>29</v>
      </c>
      <c r="AF51" s="12" t="s">
        <v>30</v>
      </c>
      <c r="AG51" s="12" t="s">
        <v>31</v>
      </c>
      <c r="AH51" s="12" t="s">
        <v>32</v>
      </c>
      <c r="AI51" s="12" t="s">
        <v>33</v>
      </c>
      <c r="AJ51" s="78" t="s">
        <v>34</v>
      </c>
      <c r="AK51" s="12" t="s">
        <v>35</v>
      </c>
      <c r="AL51" s="13" t="s">
        <v>36</v>
      </c>
      <c r="AM51" s="12" t="s">
        <v>37</v>
      </c>
      <c r="AN51" s="12" t="s">
        <v>38</v>
      </c>
      <c r="AO51" s="12" t="s">
        <v>39</v>
      </c>
      <c r="AP51" s="12" t="s">
        <v>40</v>
      </c>
      <c r="AQ51" s="12" t="s">
        <v>41</v>
      </c>
      <c r="AR51" s="12" t="s">
        <v>42</v>
      </c>
      <c r="AS51" s="12" t="s">
        <v>43</v>
      </c>
      <c r="AT51" s="12" t="s">
        <v>44</v>
      </c>
      <c r="AU51" s="12" t="s">
        <v>45</v>
      </c>
      <c r="AV51" s="13" t="s">
        <v>46</v>
      </c>
      <c r="AW51" s="12" t="s">
        <v>47</v>
      </c>
      <c r="AX51" s="12" t="s">
        <v>48</v>
      </c>
      <c r="AY51" s="12" t="s">
        <v>49</v>
      </c>
      <c r="AZ51" s="12" t="s">
        <v>50</v>
      </c>
      <c r="BA51" s="12" t="s">
        <v>51</v>
      </c>
      <c r="BB51" s="12" t="s">
        <v>52</v>
      </c>
      <c r="BC51" s="12" t="s">
        <v>53</v>
      </c>
      <c r="BD51" s="12" t="s">
        <v>54</v>
      </c>
      <c r="BE51" s="12" t="s">
        <v>55</v>
      </c>
      <c r="BF51" s="12" t="s">
        <v>56</v>
      </c>
      <c r="BG51" s="12" t="s">
        <v>57</v>
      </c>
      <c r="BH51" s="12" t="s">
        <v>58</v>
      </c>
    </row>
    <row r="52" spans="2:60" x14ac:dyDescent="0.3">
      <c r="B52" t="str">
        <f>+C52&amp;D52</f>
        <v>WA2602STE1TC</v>
      </c>
      <c r="C52" s="12" t="s">
        <v>68</v>
      </c>
      <c r="D52" s="12" t="s">
        <v>60</v>
      </c>
      <c r="E52" s="79">
        <v>5000</v>
      </c>
      <c r="F52" s="15">
        <f>SUM(H52:BH52)</f>
        <v>5000</v>
      </c>
      <c r="G52" s="17">
        <f>+F52/E52</f>
        <v>1</v>
      </c>
      <c r="H52" s="77"/>
      <c r="I52" s="77"/>
      <c r="J52" s="77"/>
      <c r="K52" s="77"/>
      <c r="L52" s="77"/>
      <c r="M52" s="77"/>
      <c r="N52" s="77"/>
      <c r="O52" s="77"/>
      <c r="P52" s="95">
        <v>15</v>
      </c>
      <c r="Q52" s="81">
        <f xml:space="preserve"> MIN(ROUND(P52 * (1 + Q10), 0), MAX($E$52 - SUM(P$52:$P52), 0))</f>
        <v>145</v>
      </c>
      <c r="R52" s="81">
        <f xml:space="preserve"> MIN(ROUND(Q52 * (1 + R10), 0), MAX($E$52 - SUM($P$52:Q52), 0))</f>
        <v>263</v>
      </c>
      <c r="S52" s="81">
        <f xml:space="preserve"> MIN(ROUND(R52 * (1 + S10), 0), MAX($E$52 - SUM($P$52:R52), 0))</f>
        <v>289</v>
      </c>
      <c r="T52" s="81">
        <f xml:space="preserve"> MIN(ROUND(S52 * (1 + T10), 0), MAX($E$52 - SUM($P$52:S52), 0))</f>
        <v>449</v>
      </c>
      <c r="U52" s="81">
        <f xml:space="preserve"> MIN(ROUND(T52 * (1 + U10), 0), MAX($E$52 - SUM($P$52:T52), 0))</f>
        <v>365</v>
      </c>
      <c r="V52" s="81">
        <f xml:space="preserve"> MIN(ROUND(U52 * (1 + V10), 0), MAX($E$52 - SUM($P$52:U52), 0))</f>
        <v>405</v>
      </c>
      <c r="W52" s="81">
        <f xml:space="preserve"> MIN(ROUND(V52 * (1 + W10), 0), MAX($E$52 - SUM($P$52:V52), 0))</f>
        <v>574</v>
      </c>
      <c r="X52" s="81">
        <f xml:space="preserve"> MIN(ROUND(W52 * (1 + X10), 0), MAX($E$52 - SUM($P$52:W52), 0))</f>
        <v>588</v>
      </c>
      <c r="Y52" s="81">
        <f xml:space="preserve"> MIN(ROUND(X52 * (1 + Y10), 0), MAX($E$52 - SUM($P$52:X52), 0))</f>
        <v>411</v>
      </c>
      <c r="Z52" s="81">
        <f xml:space="preserve"> MIN(ROUND(Y52 * (1 + Z10), 0), MAX($E$52 - SUM($P$52:Y52), 0))</f>
        <v>620</v>
      </c>
      <c r="AA52" s="81">
        <f xml:space="preserve"> MIN(ROUND(Z52 * (1 + AA10), 0), MAX($E$52 - SUM($P$52:Z52), 0))</f>
        <v>378</v>
      </c>
      <c r="AB52" s="81">
        <f xml:space="preserve"> MIN(ROUND(AA52 * (1 + AB10), 0), MAX($E$52 - SUM($P$52:AA52), 0))</f>
        <v>387</v>
      </c>
      <c r="AC52" s="81">
        <f xml:space="preserve"> MIN(ROUND(AB52 * (1 + AC10), 0), MAX($E$52 - SUM($P$52:AB52), 0))</f>
        <v>111</v>
      </c>
      <c r="AD52" s="81">
        <f xml:space="preserve"> MIN(ROUND(AC52 * (1 + AD10), 0), MAX($E$52 - SUM($P$52:AC52), 0))</f>
        <v>0</v>
      </c>
      <c r="AE52" s="81">
        <f xml:space="preserve"> MIN(ROUND(AD52 * (1 + AE10), 0), MAX($E$52 - SUM($P$52:AD52), 0))</f>
        <v>0</v>
      </c>
      <c r="AF52" s="81">
        <f xml:space="preserve"> MIN(ROUND(AE52 * (1 + AF10), 0), MAX($E$52 - SUM($P$52:AE52), 0))</f>
        <v>0</v>
      </c>
      <c r="AG52" s="81">
        <f xml:space="preserve"> MIN(ROUND(AF52 * (1 + AG10), 0), MAX($E$52 - SUM($P$52:AF52), 0))</f>
        <v>0</v>
      </c>
      <c r="AH52" s="81">
        <f xml:space="preserve"> MIN(ROUND(AG52 * (1 + AH10), 0), MAX($E$52 - SUM($P$52:AG52), 0))</f>
        <v>0</v>
      </c>
      <c r="AI52" s="81">
        <f xml:space="preserve"> MIN(ROUND(AH52 * (1 + AI10), 0), MAX($E$52 - SUM($P$52:AH52), 0))</f>
        <v>0</v>
      </c>
      <c r="AJ52" s="81">
        <f xml:space="preserve"> MIN(ROUND(AI52 * (1 + AJ10), 0), MAX($E$52 - SUM($P$52:AI52), 0))</f>
        <v>0</v>
      </c>
      <c r="AK52" s="81">
        <f xml:space="preserve"> MIN(ROUND(AJ52 * (1 + AK10), 0), MAX($E$52 - SUM($P$52:AJ52), 0))</f>
        <v>0</v>
      </c>
      <c r="AL52" s="81">
        <f xml:space="preserve"> MIN(ROUND(AK52 * (1 + AL10), 0), MAX($E$52 - SUM($P$52:AK52), 0))</f>
        <v>0</v>
      </c>
      <c r="AM52" s="81">
        <f xml:space="preserve"> MIN(ROUND(AL52 * (1 + AM10), 0), MAX($E$52 - SUM($P$52:AL52), 0))</f>
        <v>0</v>
      </c>
      <c r="AN52" s="81">
        <f xml:space="preserve"> MIN(ROUND(AM52 * (1 + AN10), 0), MAX($E$52 - SUM($P$52:AM52), 0))</f>
        <v>0</v>
      </c>
      <c r="AO52" s="81">
        <f xml:space="preserve"> MIN(ROUND(AN52 * (1 + AO10), 0), MAX($E$52 - SUM($P$52:AN52), 0))</f>
        <v>0</v>
      </c>
      <c r="AP52" s="81">
        <f xml:space="preserve"> MIN(ROUND(AO52 * (1 + AP10), 0), MAX($E$52 - SUM($P$52:AO52), 0))</f>
        <v>0</v>
      </c>
      <c r="AQ52" s="81">
        <f xml:space="preserve"> MIN(ROUND(AP52 * (1 + AQ10), 0), MAX($E$52 - SUM($P$52:AP52), 0))</f>
        <v>0</v>
      </c>
      <c r="AR52" s="81">
        <f xml:space="preserve"> MIN(ROUND(AQ52 * (1 + AR10), 0), MAX($E$52 - SUM($P$52:AQ52), 0))</f>
        <v>0</v>
      </c>
      <c r="AS52" s="81">
        <f xml:space="preserve"> MIN(ROUND(AR52 * (1 + AS10), 0), MAX($E$52 - SUM($P$52:AR52), 0))</f>
        <v>0</v>
      </c>
      <c r="AT52" s="81">
        <f xml:space="preserve"> MIN(ROUND(AS52 * (1 + AT10), 0), MAX($E$52 - SUM($P$52:AS52), 0))</f>
        <v>0</v>
      </c>
      <c r="AU52" s="96">
        <f xml:space="preserve"> MIN(ROUND(AT52 * (1 + AU10), 0), MAX($E$52 - SUM($P$52:AT52), 0))</f>
        <v>0</v>
      </c>
      <c r="AV52" s="81">
        <f xml:space="preserve"> MIN(ROUND(AU52 * (1 + AV10), 0), MAX($E$52 - SUM($P$52:AU52), 0))</f>
        <v>0</v>
      </c>
      <c r="AW52" s="81">
        <f xml:space="preserve"> MIN(ROUND(AV52 * (1 + AW10), 0), MAX($E$52 - SUM($P$52:AV52), 0))</f>
        <v>0</v>
      </c>
      <c r="AX52" s="81">
        <f xml:space="preserve"> MIN(ROUND(AW52 * (1 + AX10), 0), MAX($E$52 - SUM($P$52:AW52), 0))</f>
        <v>0</v>
      </c>
      <c r="AY52" s="81">
        <f xml:space="preserve"> MIN(ROUND(AX52 * (1 + AY10), 0), MAX($E$52 - SUM($P$52:AX52), 0))</f>
        <v>0</v>
      </c>
      <c r="AZ52" s="81">
        <f xml:space="preserve"> MIN(ROUND(AY52 * (1 + AZ10), 0), MAX($E$52 - SUM($P$52:AY52), 0))</f>
        <v>0</v>
      </c>
      <c r="BA52" s="81">
        <f xml:space="preserve"> MIN(ROUND(AZ52 * (1 + BA10), 0), MAX($E$52 - SUM($P$52:AZ52), 0))</f>
        <v>0</v>
      </c>
      <c r="BB52" s="81">
        <f xml:space="preserve"> MIN(ROUND(BA52 * (1 + BB10), 0), MAX($E$52 - SUM($P$52:BA52), 0))</f>
        <v>0</v>
      </c>
      <c r="BC52" s="81">
        <f xml:space="preserve"> MIN(ROUND(BB52 * (1 + BC10), 0), MAX($E$52 - SUM($P$52:BB52), 0))</f>
        <v>0</v>
      </c>
      <c r="BD52" s="81">
        <f xml:space="preserve"> MIN(ROUND(BC52 * (1 + BD10), 0), MAX($E$52 - SUM($P$52:BC52), 0))</f>
        <v>0</v>
      </c>
      <c r="BE52" s="81">
        <f xml:space="preserve"> MIN(ROUND(BD52 * (1 + BE10), 0), MAX($E$52 - SUM($P$52:BD52), 0))</f>
        <v>0</v>
      </c>
      <c r="BF52" s="81">
        <f xml:space="preserve"> MIN(ROUND(BE52 * (1 + BF10), 0), MAX($E$52 - SUM($P$52:BE52), 0))</f>
        <v>0</v>
      </c>
      <c r="BG52" s="81">
        <f xml:space="preserve"> MIN(ROUND(BF52 * (1 + BG10), 0), MAX($E$52 - SUM($P$52:BF52), 0))</f>
        <v>0</v>
      </c>
      <c r="BH52" s="81">
        <f xml:space="preserve"> MIN(ROUND(BG52 * (1 + BH10), 0), MAX($E$52 - SUM($P$52:BG52), 0))</f>
        <v>0</v>
      </c>
    </row>
    <row r="53" spans="2:60" x14ac:dyDescent="0.3">
      <c r="B53" t="str">
        <f>+C53&amp;D53</f>
        <v>WA2602STE1WH</v>
      </c>
      <c r="C53" s="12" t="s">
        <v>68</v>
      </c>
      <c r="D53" s="12" t="s">
        <v>69</v>
      </c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83"/>
      <c r="AK53" s="77"/>
      <c r="AL53" s="7"/>
      <c r="AM53" s="77"/>
      <c r="AN53" s="77"/>
      <c r="AO53" s="77"/>
      <c r="AP53" s="77"/>
      <c r="AQ53" s="77"/>
      <c r="AR53" s="77"/>
      <c r="AS53" s="77"/>
      <c r="AT53" s="77"/>
      <c r="AU53" s="77"/>
      <c r="AV53" s="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</row>
    <row r="54" spans="2:60" s="26" customFormat="1" x14ac:dyDescent="0.3">
      <c r="C54" s="27" t="s">
        <v>74</v>
      </c>
      <c r="D54" s="28"/>
      <c r="E54" s="29" t="s">
        <v>62</v>
      </c>
      <c r="F54" s="30"/>
      <c r="G54" s="31"/>
      <c r="H54" s="17"/>
      <c r="I54" s="17">
        <f>IFERROR(I52/H52-1,)</f>
        <v>0</v>
      </c>
      <c r="J54" s="17">
        <f t="shared" ref="J54:BH55" si="14">IFERROR(J52/I52-1,)</f>
        <v>0</v>
      </c>
      <c r="K54" s="17">
        <f t="shared" si="14"/>
        <v>0</v>
      </c>
      <c r="L54" s="17">
        <f t="shared" si="14"/>
        <v>0</v>
      </c>
      <c r="M54" s="17">
        <f t="shared" si="14"/>
        <v>0</v>
      </c>
      <c r="N54" s="17">
        <f t="shared" si="14"/>
        <v>0</v>
      </c>
      <c r="O54" s="17">
        <f t="shared" si="14"/>
        <v>0</v>
      </c>
      <c r="P54" s="17">
        <f t="shared" si="14"/>
        <v>0</v>
      </c>
      <c r="Q54" s="17">
        <f t="shared" si="14"/>
        <v>8.6666666666666661</v>
      </c>
      <c r="R54" s="17">
        <f t="shared" si="14"/>
        <v>0.81379310344827593</v>
      </c>
      <c r="S54" s="17">
        <f t="shared" si="14"/>
        <v>9.8859315589353569E-2</v>
      </c>
      <c r="T54" s="17">
        <f t="shared" si="14"/>
        <v>0.55363321799307963</v>
      </c>
      <c r="U54" s="17">
        <f t="shared" si="14"/>
        <v>-0.18708240534521159</v>
      </c>
      <c r="V54" s="17">
        <f t="shared" si="14"/>
        <v>0.1095890410958904</v>
      </c>
      <c r="W54" s="17">
        <f t="shared" si="14"/>
        <v>0.41728395061728385</v>
      </c>
      <c r="X54" s="17">
        <f t="shared" si="14"/>
        <v>2.4390243902439046E-2</v>
      </c>
      <c r="Y54" s="17">
        <f t="shared" si="14"/>
        <v>-0.30102040816326525</v>
      </c>
      <c r="Z54" s="17">
        <f t="shared" si="14"/>
        <v>0.50851581508515808</v>
      </c>
      <c r="AA54" s="17">
        <f t="shared" si="14"/>
        <v>-0.39032258064516134</v>
      </c>
      <c r="AB54" s="17">
        <f t="shared" si="14"/>
        <v>2.3809523809523725E-2</v>
      </c>
      <c r="AC54" s="17">
        <f t="shared" si="14"/>
        <v>-0.71317829457364335</v>
      </c>
      <c r="AD54" s="17">
        <f t="shared" si="14"/>
        <v>-1</v>
      </c>
      <c r="AE54" s="17">
        <f t="shared" si="14"/>
        <v>0</v>
      </c>
      <c r="AF54" s="17">
        <f t="shared" si="14"/>
        <v>0</v>
      </c>
      <c r="AG54" s="17">
        <f t="shared" si="14"/>
        <v>0</v>
      </c>
      <c r="AH54" s="17">
        <f t="shared" si="14"/>
        <v>0</v>
      </c>
      <c r="AI54" s="17">
        <f t="shared" si="14"/>
        <v>0</v>
      </c>
      <c r="AJ54" s="84">
        <f t="shared" si="14"/>
        <v>0</v>
      </c>
      <c r="AK54" s="17">
        <f t="shared" si="14"/>
        <v>0</v>
      </c>
      <c r="AL54" s="32">
        <f t="shared" si="14"/>
        <v>0</v>
      </c>
      <c r="AM54" s="17">
        <f t="shared" si="14"/>
        <v>0</v>
      </c>
      <c r="AN54" s="17">
        <f t="shared" si="14"/>
        <v>0</v>
      </c>
      <c r="AO54" s="17">
        <f t="shared" si="14"/>
        <v>0</v>
      </c>
      <c r="AP54" s="17">
        <f t="shared" si="14"/>
        <v>0</v>
      </c>
      <c r="AQ54" s="17">
        <f t="shared" si="14"/>
        <v>0</v>
      </c>
      <c r="AR54" s="17">
        <f t="shared" si="14"/>
        <v>0</v>
      </c>
      <c r="AS54" s="17">
        <f t="shared" si="14"/>
        <v>0</v>
      </c>
      <c r="AT54" s="17">
        <f t="shared" si="14"/>
        <v>0</v>
      </c>
      <c r="AU54" s="17">
        <f t="shared" si="14"/>
        <v>0</v>
      </c>
      <c r="AV54" s="32">
        <f t="shared" si="14"/>
        <v>0</v>
      </c>
      <c r="AW54" s="17">
        <f t="shared" si="14"/>
        <v>0</v>
      </c>
      <c r="AX54" s="17">
        <f t="shared" si="14"/>
        <v>0</v>
      </c>
      <c r="AY54" s="17">
        <f t="shared" si="14"/>
        <v>0</v>
      </c>
      <c r="AZ54" s="17">
        <f t="shared" si="14"/>
        <v>0</v>
      </c>
      <c r="BA54" s="17">
        <f t="shared" si="14"/>
        <v>0</v>
      </c>
      <c r="BB54" s="17">
        <f t="shared" si="14"/>
        <v>0</v>
      </c>
      <c r="BC54" s="17">
        <f t="shared" si="14"/>
        <v>0</v>
      </c>
      <c r="BD54" s="17">
        <f t="shared" si="14"/>
        <v>0</v>
      </c>
      <c r="BE54" s="17">
        <f t="shared" si="14"/>
        <v>0</v>
      </c>
      <c r="BF54" s="17">
        <f t="shared" si="14"/>
        <v>0</v>
      </c>
      <c r="BG54" s="17">
        <f t="shared" si="14"/>
        <v>0</v>
      </c>
      <c r="BH54" s="17">
        <f t="shared" si="14"/>
        <v>0</v>
      </c>
    </row>
    <row r="55" spans="2:60" x14ac:dyDescent="0.3">
      <c r="C55" s="40"/>
      <c r="D55" s="34">
        <v>49000</v>
      </c>
      <c r="E55" s="35"/>
      <c r="F55" s="36"/>
      <c r="G55" s="37"/>
      <c r="H55" s="24"/>
      <c r="I55" s="23">
        <f>IFERROR(I53/H53-1,)</f>
        <v>0</v>
      </c>
      <c r="J55" s="23">
        <f t="shared" si="14"/>
        <v>0</v>
      </c>
      <c r="K55" s="23">
        <f t="shared" si="14"/>
        <v>0</v>
      </c>
      <c r="L55" s="23">
        <f t="shared" si="14"/>
        <v>0</v>
      </c>
      <c r="M55" s="23">
        <f t="shared" si="14"/>
        <v>0</v>
      </c>
      <c r="N55" s="23">
        <f t="shared" si="14"/>
        <v>0</v>
      </c>
      <c r="O55" s="23">
        <f t="shared" si="14"/>
        <v>0</v>
      </c>
      <c r="P55" s="23">
        <f>IFERROR(P53/O53-1,)</f>
        <v>0</v>
      </c>
      <c r="Q55" s="23">
        <f>IFERROR(Q53/P53-1,)</f>
        <v>0</v>
      </c>
      <c r="R55" s="23">
        <f t="shared" si="14"/>
        <v>0</v>
      </c>
      <c r="S55" s="23">
        <f t="shared" si="14"/>
        <v>0</v>
      </c>
      <c r="T55" s="23">
        <f t="shared" si="14"/>
        <v>0</v>
      </c>
      <c r="U55" s="23">
        <f t="shared" si="14"/>
        <v>0</v>
      </c>
      <c r="V55" s="23">
        <f t="shared" si="14"/>
        <v>0</v>
      </c>
      <c r="W55" s="23">
        <f t="shared" si="14"/>
        <v>0</v>
      </c>
      <c r="X55" s="23">
        <f t="shared" si="14"/>
        <v>0</v>
      </c>
      <c r="Y55" s="23">
        <f>IFERROR(Y53/X53-1,)</f>
        <v>0</v>
      </c>
      <c r="Z55" s="23">
        <f>IFERROR(Z53/Y53-1,)</f>
        <v>0</v>
      </c>
      <c r="AA55" s="23">
        <f t="shared" si="14"/>
        <v>0</v>
      </c>
      <c r="AB55" s="23">
        <f t="shared" si="14"/>
        <v>0</v>
      </c>
      <c r="AC55" s="23">
        <f t="shared" si="14"/>
        <v>0</v>
      </c>
      <c r="AD55" s="23">
        <f t="shared" si="14"/>
        <v>0</v>
      </c>
      <c r="AE55" s="23">
        <f t="shared" si="14"/>
        <v>0</v>
      </c>
      <c r="AF55" s="23">
        <f t="shared" si="14"/>
        <v>0</v>
      </c>
      <c r="AG55" s="23">
        <f t="shared" si="14"/>
        <v>0</v>
      </c>
      <c r="AH55" s="23">
        <f t="shared" si="14"/>
        <v>0</v>
      </c>
      <c r="AI55" s="23">
        <f t="shared" si="14"/>
        <v>0</v>
      </c>
      <c r="AJ55" s="85">
        <f t="shared" si="14"/>
        <v>0</v>
      </c>
      <c r="AK55" s="23">
        <f t="shared" si="14"/>
        <v>0</v>
      </c>
      <c r="AL55" s="38">
        <f t="shared" si="14"/>
        <v>0</v>
      </c>
      <c r="AM55" s="23">
        <f t="shared" si="14"/>
        <v>0</v>
      </c>
      <c r="AN55" s="23">
        <f t="shared" si="14"/>
        <v>0</v>
      </c>
      <c r="AO55" s="23">
        <f t="shared" si="14"/>
        <v>0</v>
      </c>
      <c r="AP55" s="23">
        <f t="shared" si="14"/>
        <v>0</v>
      </c>
      <c r="AQ55" s="23">
        <f t="shared" si="14"/>
        <v>0</v>
      </c>
      <c r="AR55" s="23">
        <f t="shared" si="14"/>
        <v>0</v>
      </c>
      <c r="AS55" s="23">
        <f t="shared" si="14"/>
        <v>0</v>
      </c>
      <c r="AT55" s="23">
        <f t="shared" si="14"/>
        <v>0</v>
      </c>
      <c r="AU55" s="23">
        <f t="shared" si="14"/>
        <v>0</v>
      </c>
      <c r="AV55" s="38">
        <f t="shared" si="14"/>
        <v>0</v>
      </c>
      <c r="AW55" s="23">
        <f t="shared" si="14"/>
        <v>0</v>
      </c>
      <c r="AX55" s="23">
        <f t="shared" si="14"/>
        <v>0</v>
      </c>
      <c r="AY55" s="23">
        <f t="shared" si="14"/>
        <v>0</v>
      </c>
      <c r="AZ55" s="23">
        <f t="shared" si="14"/>
        <v>0</v>
      </c>
      <c r="BA55" s="23">
        <f t="shared" si="14"/>
        <v>0</v>
      </c>
      <c r="BB55" s="23">
        <f t="shared" si="14"/>
        <v>0</v>
      </c>
      <c r="BC55" s="23">
        <f t="shared" si="14"/>
        <v>0</v>
      </c>
      <c r="BD55" s="23">
        <f t="shared" si="14"/>
        <v>0</v>
      </c>
      <c r="BE55" s="23">
        <f t="shared" si="14"/>
        <v>0</v>
      </c>
      <c r="BF55" s="23">
        <f t="shared" si="14"/>
        <v>0</v>
      </c>
      <c r="BG55" s="23">
        <f t="shared" si="14"/>
        <v>0</v>
      </c>
      <c r="BH55" s="23">
        <f t="shared" si="14"/>
        <v>0</v>
      </c>
    </row>
    <row r="56" spans="2:60" s="39" customFormat="1" x14ac:dyDescent="0.3">
      <c r="C56" s="40"/>
      <c r="D56" s="41"/>
      <c r="E56" s="42" t="s">
        <v>63</v>
      </c>
      <c r="F56" s="43"/>
      <c r="G56" s="44"/>
      <c r="H56" s="15">
        <f>+SUM($H$52:H52)</f>
        <v>0</v>
      </c>
      <c r="I56" s="15">
        <f>+SUM($H$52:I52)</f>
        <v>0</v>
      </c>
      <c r="J56" s="15">
        <f>+SUM($H$52:J52)</f>
        <v>0</v>
      </c>
      <c r="K56" s="15">
        <f>+SUM($H$52:K52)</f>
        <v>0</v>
      </c>
      <c r="L56" s="15">
        <f>+SUM($H$52:L52)</f>
        <v>0</v>
      </c>
      <c r="M56" s="15">
        <f>+SUM($H$52:M52)</f>
        <v>0</v>
      </c>
      <c r="N56" s="15">
        <f>+SUM($H$52:N52)</f>
        <v>0</v>
      </c>
      <c r="O56" s="15">
        <f>+SUM($H$52:O52)</f>
        <v>0</v>
      </c>
      <c r="P56" s="15">
        <f>+SUM($H$52:P52)</f>
        <v>15</v>
      </c>
      <c r="Q56" s="15">
        <f>+SUM($H$52:Q52)</f>
        <v>160</v>
      </c>
      <c r="R56" s="15">
        <f>+SUM($H$52:R52)</f>
        <v>423</v>
      </c>
      <c r="S56" s="15">
        <f>+SUM($H$52:S52)</f>
        <v>712</v>
      </c>
      <c r="T56" s="15">
        <f>+SUM($H$52:T52)</f>
        <v>1161</v>
      </c>
      <c r="U56" s="15">
        <f>+SUM($H$52:U52)</f>
        <v>1526</v>
      </c>
      <c r="V56" s="15">
        <f>+SUM($H$52:V52)</f>
        <v>1931</v>
      </c>
      <c r="W56" s="15">
        <f>+SUM($H$52:W52)</f>
        <v>2505</v>
      </c>
      <c r="X56" s="15">
        <f>+SUM($H$52:X52)</f>
        <v>3093</v>
      </c>
      <c r="Y56" s="15">
        <f>+SUM($H$52:Y52)</f>
        <v>3504</v>
      </c>
      <c r="Z56" s="15">
        <f>+SUM($H$52:Z52)</f>
        <v>4124</v>
      </c>
      <c r="AA56" s="15">
        <f>+SUM($H$52:AA52)</f>
        <v>4502</v>
      </c>
      <c r="AB56" s="15">
        <f>+SUM($H$52:AB52)</f>
        <v>4889</v>
      </c>
      <c r="AC56" s="15">
        <f>+SUM($H$52:AC52)</f>
        <v>5000</v>
      </c>
      <c r="AD56" s="15">
        <f>+SUM($H$52:AD52)</f>
        <v>5000</v>
      </c>
      <c r="AE56" s="15">
        <f>+SUM($H$52:AE52)</f>
        <v>5000</v>
      </c>
      <c r="AF56" s="15">
        <f>+SUM($H$52:AF52)</f>
        <v>5000</v>
      </c>
      <c r="AG56" s="15">
        <f>+SUM($H$52:AG52)</f>
        <v>5000</v>
      </c>
      <c r="AH56" s="15">
        <f>+SUM($H$52:AH52)</f>
        <v>5000</v>
      </c>
      <c r="AI56" s="15">
        <f>+SUM($H$52:AI52)</f>
        <v>5000</v>
      </c>
      <c r="AJ56" s="15">
        <f>+SUM($H$52:AJ52)</f>
        <v>5000</v>
      </c>
      <c r="AK56" s="15">
        <f>+SUM($H$52:AK52)</f>
        <v>5000</v>
      </c>
      <c r="AL56" s="15">
        <f>+SUM($H$52:AL52)</f>
        <v>5000</v>
      </c>
      <c r="AM56" s="15">
        <f>+SUM($H$52:AM52)</f>
        <v>5000</v>
      </c>
      <c r="AN56" s="15">
        <f>+SUM($H$52:AN52)</f>
        <v>5000</v>
      </c>
      <c r="AO56" s="15">
        <f>+SUM($H$52:AO52)</f>
        <v>5000</v>
      </c>
      <c r="AP56" s="15">
        <f>+SUM($H$52:AP52)</f>
        <v>5000</v>
      </c>
      <c r="AQ56" s="15">
        <f>+SUM($H$52:AQ52)</f>
        <v>5000</v>
      </c>
      <c r="AR56" s="15">
        <f>+SUM($H$52:AR52)</f>
        <v>5000</v>
      </c>
      <c r="AS56" s="15">
        <f>+SUM($H$52:AS52)</f>
        <v>5000</v>
      </c>
      <c r="AT56" s="15">
        <f>+SUM($H$52:AT52)</f>
        <v>5000</v>
      </c>
      <c r="AU56" s="15">
        <f>+SUM($H$52:AU52)</f>
        <v>5000</v>
      </c>
      <c r="AV56" s="45">
        <f>+SUM($H$52:AV52)</f>
        <v>5000</v>
      </c>
      <c r="AW56" s="15">
        <f>+SUM($H$52:AW52)</f>
        <v>5000</v>
      </c>
      <c r="AX56" s="15">
        <f>+SUM($H$52:AX52)</f>
        <v>5000</v>
      </c>
      <c r="AY56" s="15">
        <f>+SUM($H$52:AY52)</f>
        <v>5000</v>
      </c>
      <c r="AZ56" s="15">
        <f>+SUM($H$52:AZ52)</f>
        <v>5000</v>
      </c>
      <c r="BA56" s="15">
        <f>+SUM($H$52:BA52)</f>
        <v>5000</v>
      </c>
      <c r="BB56" s="15">
        <f>+SUM($H$52:BB52)</f>
        <v>5000</v>
      </c>
      <c r="BC56" s="15">
        <f>+SUM($H$52:BC52)</f>
        <v>5000</v>
      </c>
      <c r="BD56" s="15">
        <f>+SUM($H$52:BD52)</f>
        <v>5000</v>
      </c>
      <c r="BE56" s="15">
        <f>+SUM($H$52:BE52)</f>
        <v>5000</v>
      </c>
      <c r="BF56" s="15">
        <f>+SUM($H$52:BF52)</f>
        <v>5000</v>
      </c>
      <c r="BG56" s="15">
        <f>+SUM($H$52:BG52)</f>
        <v>5000</v>
      </c>
      <c r="BH56" s="15">
        <f>+SUM($H$52:BH52)</f>
        <v>5000</v>
      </c>
    </row>
    <row r="57" spans="2:60" x14ac:dyDescent="0.3">
      <c r="C57" s="40"/>
      <c r="D57" s="41"/>
      <c r="E57" s="46"/>
      <c r="F57" s="47"/>
      <c r="G57" s="48"/>
      <c r="H57" s="21">
        <f>+SUM($H$53:H53)</f>
        <v>0</v>
      </c>
      <c r="I57" s="21">
        <f>+SUM($H$53:I53)</f>
        <v>0</v>
      </c>
      <c r="J57" s="21">
        <f>+SUM($H$53:J53)</f>
        <v>0</v>
      </c>
      <c r="K57" s="21">
        <f>+SUM($H$53:K53)</f>
        <v>0</v>
      </c>
      <c r="L57" s="21">
        <f>+SUM($H$53:L53)</f>
        <v>0</v>
      </c>
      <c r="M57" s="21">
        <f>+SUM($H$53:M53)</f>
        <v>0</v>
      </c>
      <c r="N57" s="21">
        <f>+SUM($H$53:N53)</f>
        <v>0</v>
      </c>
      <c r="O57" s="21">
        <f>+SUM($H$53:O53)</f>
        <v>0</v>
      </c>
      <c r="P57" s="21">
        <f>+SUM($H$53:P53)</f>
        <v>0</v>
      </c>
      <c r="Q57" s="21">
        <f>+SUM($H$53:Q53)</f>
        <v>0</v>
      </c>
      <c r="R57" s="21">
        <f>+SUM($H$53:R53)</f>
        <v>0</v>
      </c>
      <c r="S57" s="21">
        <f>+SUM($H$53:S53)</f>
        <v>0</v>
      </c>
      <c r="T57" s="21">
        <f>+SUM($H$53:T53)</f>
        <v>0</v>
      </c>
      <c r="U57" s="21">
        <f>+SUM($H$53:U53)</f>
        <v>0</v>
      </c>
      <c r="V57" s="21">
        <f>+SUM($H$53:V53)</f>
        <v>0</v>
      </c>
      <c r="W57" s="21">
        <f>+SUM($H$53:W53)</f>
        <v>0</v>
      </c>
      <c r="X57" s="21">
        <f>+SUM($H$53:X53)</f>
        <v>0</v>
      </c>
      <c r="Y57" s="21">
        <f>+SUM($H$53:Y53)</f>
        <v>0</v>
      </c>
      <c r="Z57" s="21">
        <f>+SUM($H$53:Z53)</f>
        <v>0</v>
      </c>
      <c r="AA57" s="21">
        <f>+SUM($H$53:AA53)</f>
        <v>0</v>
      </c>
      <c r="AB57" s="21">
        <f>+SUM($H$53:AB53)</f>
        <v>0</v>
      </c>
      <c r="AC57" s="21">
        <f>+SUM($H$53:AC53)</f>
        <v>0</v>
      </c>
      <c r="AD57" s="21">
        <f>+SUM($H$53:AD53)</f>
        <v>0</v>
      </c>
      <c r="AE57" s="21">
        <f>+SUM($H$53:AE53)</f>
        <v>0</v>
      </c>
      <c r="AF57" s="21">
        <f>+SUM($H$53:AF53)</f>
        <v>0</v>
      </c>
      <c r="AG57" s="21">
        <f>+SUM($H$53:AG53)</f>
        <v>0</v>
      </c>
      <c r="AH57" s="21">
        <f>+SUM($H$53:AH53)</f>
        <v>0</v>
      </c>
      <c r="AI57" s="21">
        <f>+SUM($H$53:AI53)</f>
        <v>0</v>
      </c>
      <c r="AJ57" s="21">
        <f>+SUM($H$53:AJ53)</f>
        <v>0</v>
      </c>
      <c r="AK57" s="21">
        <f>+SUM($H$53:AK53)</f>
        <v>0</v>
      </c>
      <c r="AL57" s="21">
        <f>+SUM($H$53:AL53)</f>
        <v>0</v>
      </c>
      <c r="AM57" s="21">
        <f>+SUM($H$53:AM53)</f>
        <v>0</v>
      </c>
      <c r="AN57" s="21">
        <f>+SUM($H$53:AN53)</f>
        <v>0</v>
      </c>
      <c r="AO57" s="21">
        <f>+SUM($H$53:AO53)</f>
        <v>0</v>
      </c>
      <c r="AP57" s="21">
        <f>+SUM($H$53:AP53)</f>
        <v>0</v>
      </c>
      <c r="AQ57" s="21">
        <f>+SUM($H$53:AQ53)</f>
        <v>0</v>
      </c>
      <c r="AR57" s="21">
        <f>+SUM($H$53:AR53)</f>
        <v>0</v>
      </c>
      <c r="AS57" s="21">
        <f>+SUM($H$53:AS53)</f>
        <v>0</v>
      </c>
      <c r="AT57" s="21">
        <f>+SUM($H$53:AT53)</f>
        <v>0</v>
      </c>
      <c r="AU57" s="21">
        <f>+SUM($H$53:AU53)</f>
        <v>0</v>
      </c>
      <c r="AV57" s="49">
        <f>+SUM($H$53:AV53)</f>
        <v>0</v>
      </c>
      <c r="AW57" s="21">
        <f>+SUM($H$53:AW53)</f>
        <v>0</v>
      </c>
      <c r="AX57" s="21">
        <f>+SUM($H$53:AX53)</f>
        <v>0</v>
      </c>
      <c r="AY57" s="21">
        <f>+SUM($H$53:AY53)</f>
        <v>0</v>
      </c>
      <c r="AZ57" s="21">
        <f>+SUM($H$53:AZ53)</f>
        <v>0</v>
      </c>
      <c r="BA57" s="21">
        <f>+SUM($H$53:BA53)</f>
        <v>0</v>
      </c>
      <c r="BB57" s="21">
        <f>+SUM($H$53:BB53)</f>
        <v>0</v>
      </c>
      <c r="BC57" s="21">
        <f>+SUM($H$53:BC53)</f>
        <v>0</v>
      </c>
      <c r="BD57" s="21">
        <f>+SUM($H$53:BD53)</f>
        <v>0</v>
      </c>
      <c r="BE57" s="21">
        <f>+SUM($H$53:BE53)</f>
        <v>0</v>
      </c>
      <c r="BF57" s="21">
        <f>+SUM($H$53:BF53)</f>
        <v>0</v>
      </c>
      <c r="BG57" s="21">
        <f>+SUM($H$53:BG53)</f>
        <v>0</v>
      </c>
      <c r="BH57" s="21">
        <f>+SUM($H$53:BH53)</f>
        <v>0</v>
      </c>
    </row>
    <row r="58" spans="2:60" x14ac:dyDescent="0.3">
      <c r="C58" s="40"/>
      <c r="D58" s="41"/>
      <c r="E58" s="50" t="s">
        <v>72</v>
      </c>
      <c r="F58" s="51"/>
      <c r="G58" s="52"/>
      <c r="H58" s="97">
        <f>+H52*$D$55</f>
        <v>0</v>
      </c>
      <c r="I58" s="97">
        <f t="shared" ref="I58:BH58" si="15">+I52*$D$55</f>
        <v>0</v>
      </c>
      <c r="J58" s="97">
        <f t="shared" si="15"/>
        <v>0</v>
      </c>
      <c r="K58" s="97">
        <f t="shared" si="15"/>
        <v>0</v>
      </c>
      <c r="L58" s="97">
        <f t="shared" si="15"/>
        <v>0</v>
      </c>
      <c r="M58" s="97">
        <f t="shared" si="15"/>
        <v>0</v>
      </c>
      <c r="N58" s="97">
        <f t="shared" si="15"/>
        <v>0</v>
      </c>
      <c r="O58" s="97">
        <f t="shared" si="15"/>
        <v>0</v>
      </c>
      <c r="P58" s="97">
        <f t="shared" si="15"/>
        <v>735000</v>
      </c>
      <c r="Q58" s="97">
        <f t="shared" si="15"/>
        <v>7105000</v>
      </c>
      <c r="R58" s="97">
        <f t="shared" si="15"/>
        <v>12887000</v>
      </c>
      <c r="S58" s="97">
        <f t="shared" si="15"/>
        <v>14161000</v>
      </c>
      <c r="T58" s="97">
        <f t="shared" si="15"/>
        <v>22001000</v>
      </c>
      <c r="U58" s="97">
        <f t="shared" si="15"/>
        <v>17885000</v>
      </c>
      <c r="V58" s="97">
        <f t="shared" si="15"/>
        <v>19845000</v>
      </c>
      <c r="W58" s="97">
        <f t="shared" si="15"/>
        <v>28126000</v>
      </c>
      <c r="X58" s="97">
        <f t="shared" si="15"/>
        <v>28812000</v>
      </c>
      <c r="Y58" s="97">
        <f t="shared" si="15"/>
        <v>20139000</v>
      </c>
      <c r="Z58" s="97">
        <f t="shared" si="15"/>
        <v>30380000</v>
      </c>
      <c r="AA58" s="97">
        <f t="shared" si="15"/>
        <v>18522000</v>
      </c>
      <c r="AB58" s="97">
        <f t="shared" si="15"/>
        <v>18963000</v>
      </c>
      <c r="AC58" s="97">
        <f t="shared" si="15"/>
        <v>5439000</v>
      </c>
      <c r="AD58" s="97">
        <f t="shared" si="15"/>
        <v>0</v>
      </c>
      <c r="AE58" s="97">
        <f t="shared" si="15"/>
        <v>0</v>
      </c>
      <c r="AF58" s="97">
        <f t="shared" si="15"/>
        <v>0</v>
      </c>
      <c r="AG58" s="97">
        <f t="shared" si="15"/>
        <v>0</v>
      </c>
      <c r="AH58" s="97">
        <f t="shared" si="15"/>
        <v>0</v>
      </c>
      <c r="AI58" s="97">
        <f t="shared" si="15"/>
        <v>0</v>
      </c>
      <c r="AJ58" s="97">
        <f t="shared" si="15"/>
        <v>0</v>
      </c>
      <c r="AK58" s="97">
        <f t="shared" si="15"/>
        <v>0</v>
      </c>
      <c r="AL58" s="97">
        <f t="shared" si="15"/>
        <v>0</v>
      </c>
      <c r="AM58" s="97">
        <f t="shared" si="15"/>
        <v>0</v>
      </c>
      <c r="AN58" s="97">
        <f t="shared" si="15"/>
        <v>0</v>
      </c>
      <c r="AO58" s="97">
        <f t="shared" si="15"/>
        <v>0</v>
      </c>
      <c r="AP58" s="97">
        <f t="shared" si="15"/>
        <v>0</v>
      </c>
      <c r="AQ58" s="97">
        <f t="shared" si="15"/>
        <v>0</v>
      </c>
      <c r="AR58" s="97">
        <f t="shared" si="15"/>
        <v>0</v>
      </c>
      <c r="AS58" s="97">
        <f t="shared" si="15"/>
        <v>0</v>
      </c>
      <c r="AT58" s="97">
        <f t="shared" si="15"/>
        <v>0</v>
      </c>
      <c r="AU58" s="97">
        <f t="shared" si="15"/>
        <v>0</v>
      </c>
      <c r="AV58" s="98">
        <f t="shared" si="15"/>
        <v>0</v>
      </c>
      <c r="AW58" s="97">
        <f t="shared" si="15"/>
        <v>0</v>
      </c>
      <c r="AX58" s="97">
        <f t="shared" si="15"/>
        <v>0</v>
      </c>
      <c r="AY58" s="97">
        <f t="shared" si="15"/>
        <v>0</v>
      </c>
      <c r="AZ58" s="97">
        <f t="shared" si="15"/>
        <v>0</v>
      </c>
      <c r="BA58" s="97">
        <f t="shared" si="15"/>
        <v>0</v>
      </c>
      <c r="BB58" s="97">
        <f t="shared" si="15"/>
        <v>0</v>
      </c>
      <c r="BC58" s="97">
        <f t="shared" si="15"/>
        <v>0</v>
      </c>
      <c r="BD58" s="97">
        <f t="shared" si="15"/>
        <v>0</v>
      </c>
      <c r="BE58" s="97">
        <f t="shared" si="15"/>
        <v>0</v>
      </c>
      <c r="BF58" s="97">
        <f t="shared" si="15"/>
        <v>0</v>
      </c>
      <c r="BG58" s="97">
        <f t="shared" si="15"/>
        <v>0</v>
      </c>
      <c r="BH58" s="97">
        <f t="shared" si="15"/>
        <v>0</v>
      </c>
    </row>
    <row r="59" spans="2:60" x14ac:dyDescent="0.3">
      <c r="C59" s="60"/>
      <c r="D59" s="61"/>
      <c r="E59" s="55"/>
      <c r="F59" s="56"/>
      <c r="G59" s="57"/>
      <c r="H59" s="99">
        <f>+IF(H57=0,0,$E53-H57)</f>
        <v>0</v>
      </c>
      <c r="I59" s="99">
        <f t="shared" ref="I59:BH59" si="16">+IF(I57=0,0,$E53-I57)</f>
        <v>0</v>
      </c>
      <c r="J59" s="99">
        <f t="shared" si="16"/>
        <v>0</v>
      </c>
      <c r="K59" s="99">
        <f t="shared" si="16"/>
        <v>0</v>
      </c>
      <c r="L59" s="99">
        <f t="shared" si="16"/>
        <v>0</v>
      </c>
      <c r="M59" s="99">
        <f t="shared" si="16"/>
        <v>0</v>
      </c>
      <c r="N59" s="99">
        <f t="shared" si="16"/>
        <v>0</v>
      </c>
      <c r="O59" s="99">
        <f t="shared" si="16"/>
        <v>0</v>
      </c>
      <c r="P59" s="99">
        <f t="shared" si="16"/>
        <v>0</v>
      </c>
      <c r="Q59" s="99">
        <f t="shared" si="16"/>
        <v>0</v>
      </c>
      <c r="R59" s="99">
        <f t="shared" si="16"/>
        <v>0</v>
      </c>
      <c r="S59" s="99">
        <f t="shared" si="16"/>
        <v>0</v>
      </c>
      <c r="T59" s="99">
        <f t="shared" si="16"/>
        <v>0</v>
      </c>
      <c r="U59" s="99">
        <f t="shared" si="16"/>
        <v>0</v>
      </c>
      <c r="V59" s="99">
        <f t="shared" si="16"/>
        <v>0</v>
      </c>
      <c r="W59" s="99">
        <f t="shared" si="16"/>
        <v>0</v>
      </c>
      <c r="X59" s="99">
        <f t="shared" si="16"/>
        <v>0</v>
      </c>
      <c r="Y59" s="99">
        <f t="shared" si="16"/>
        <v>0</v>
      </c>
      <c r="Z59" s="99">
        <f t="shared" si="16"/>
        <v>0</v>
      </c>
      <c r="AA59" s="99">
        <f t="shared" si="16"/>
        <v>0</v>
      </c>
      <c r="AB59" s="99">
        <f t="shared" si="16"/>
        <v>0</v>
      </c>
      <c r="AC59" s="99">
        <f t="shared" si="16"/>
        <v>0</v>
      </c>
      <c r="AD59" s="99">
        <f t="shared" si="16"/>
        <v>0</v>
      </c>
      <c r="AE59" s="99">
        <f t="shared" si="16"/>
        <v>0</v>
      </c>
      <c r="AF59" s="99">
        <f t="shared" si="16"/>
        <v>0</v>
      </c>
      <c r="AG59" s="99">
        <f t="shared" si="16"/>
        <v>0</v>
      </c>
      <c r="AH59" s="99">
        <f t="shared" si="16"/>
        <v>0</v>
      </c>
      <c r="AI59" s="99">
        <f t="shared" si="16"/>
        <v>0</v>
      </c>
      <c r="AJ59" s="100">
        <f t="shared" si="16"/>
        <v>0</v>
      </c>
      <c r="AK59" s="99">
        <f t="shared" si="16"/>
        <v>0</v>
      </c>
      <c r="AL59" s="101">
        <f t="shared" si="16"/>
        <v>0</v>
      </c>
      <c r="AM59" s="99">
        <f t="shared" si="16"/>
        <v>0</v>
      </c>
      <c r="AN59" s="99">
        <f t="shared" si="16"/>
        <v>0</v>
      </c>
      <c r="AO59" s="99">
        <f t="shared" si="16"/>
        <v>0</v>
      </c>
      <c r="AP59" s="99">
        <f t="shared" si="16"/>
        <v>0</v>
      </c>
      <c r="AQ59" s="99">
        <f t="shared" si="16"/>
        <v>0</v>
      </c>
      <c r="AR59" s="99">
        <f t="shared" si="16"/>
        <v>0</v>
      </c>
      <c r="AS59" s="99">
        <f t="shared" si="16"/>
        <v>0</v>
      </c>
      <c r="AT59" s="99">
        <f t="shared" si="16"/>
        <v>0</v>
      </c>
      <c r="AU59" s="99">
        <f t="shared" si="16"/>
        <v>0</v>
      </c>
      <c r="AV59" s="101">
        <f t="shared" si="16"/>
        <v>0</v>
      </c>
      <c r="AW59" s="99">
        <f t="shared" si="16"/>
        <v>0</v>
      </c>
      <c r="AX59" s="99">
        <f t="shared" si="16"/>
        <v>0</v>
      </c>
      <c r="AY59" s="99">
        <f t="shared" si="16"/>
        <v>0</v>
      </c>
      <c r="AZ59" s="99">
        <f t="shared" si="16"/>
        <v>0</v>
      </c>
      <c r="BA59" s="99">
        <f t="shared" si="16"/>
        <v>0</v>
      </c>
      <c r="BB59" s="99">
        <f t="shared" si="16"/>
        <v>0</v>
      </c>
      <c r="BC59" s="99">
        <f t="shared" si="16"/>
        <v>0</v>
      </c>
      <c r="BD59" s="99">
        <f t="shared" si="16"/>
        <v>0</v>
      </c>
      <c r="BE59" s="99">
        <f t="shared" si="16"/>
        <v>0</v>
      </c>
      <c r="BF59" s="99">
        <f t="shared" si="16"/>
        <v>0</v>
      </c>
      <c r="BG59" s="99">
        <f t="shared" si="16"/>
        <v>0</v>
      </c>
      <c r="BH59" s="99">
        <f t="shared" si="16"/>
        <v>0</v>
      </c>
    </row>
  </sheetData>
  <mergeCells count="13">
    <mergeCell ref="E58:G59"/>
    <mergeCell ref="E30:G31"/>
    <mergeCell ref="E40:G41"/>
    <mergeCell ref="E42:G43"/>
    <mergeCell ref="E44:G45"/>
    <mergeCell ref="E54:G55"/>
    <mergeCell ref="E56:G57"/>
    <mergeCell ref="E10:G11"/>
    <mergeCell ref="E12:G13"/>
    <mergeCell ref="E14:G15"/>
    <mergeCell ref="E16:G17"/>
    <mergeCell ref="E26:G27"/>
    <mergeCell ref="E28:G29"/>
  </mergeCells>
  <phoneticPr fontId="3" type="noConversion"/>
  <conditionalFormatting sqref="H8:BH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품번검토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이하영</dc:creator>
  <cp:lastModifiedBy>이하영</cp:lastModifiedBy>
  <dcterms:created xsi:type="dcterms:W3CDTF">2026-05-18T08:03:34Z</dcterms:created>
  <dcterms:modified xsi:type="dcterms:W3CDTF">2026-05-18T08:21:04Z</dcterms:modified>
</cp:coreProperties>
</file>